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dicadores " sheetId="1" r:id="rId4"/>
    <sheet name="Ventas en Bs" sheetId="2" r:id="rId5"/>
    <sheet name="Venta en $" sheetId="3" r:id="rId6"/>
    <sheet name="TRN-Unidades" sheetId="4" r:id="rId7"/>
    <sheet name="Ticket Promedio en Bs" sheetId="5" r:id="rId8"/>
    <sheet name="PromUnd-TicketProm$" sheetId="6" r:id="rId9"/>
    <sheet name="TRNxJornadas" sheetId="7" r:id="rId10"/>
    <sheet name="Valuacion-Unidades Cargadas" sheetId="8" r:id="rId11"/>
  </sheets>
  <definedNames>
    <definedName name="_xlnm._FilterDatabase" localSheetId="0" hidden="1">'Indicadores '!$A$3:$N$34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<sst xmlns="http://schemas.openxmlformats.org/spreadsheetml/2006/main" uniqueCount="46">
  <si>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ENERO</t>
  </si>
  <si>
    <t>FARMACIA DE EJEMPLO, C.A.</t>
  </si>
  <si>
    <t>#</t>
  </si>
  <si>
    <t>Fecha</t>
  </si>
  <si>
    <t xml:space="preserve">Venta BS </t>
  </si>
  <si>
    <t>Venta en $</t>
  </si>
  <si>
    <t>Tasa $</t>
  </si>
  <si>
    <t>TRN</t>
  </si>
  <si>
    <t>Unidades</t>
  </si>
  <si>
    <t>Ticket Promedio</t>
  </si>
  <si>
    <t>Unidades Promedio
 x Compra</t>
  </si>
  <si>
    <t>Ticket Promedio en $</t>
  </si>
  <si>
    <t>Unidades Cargadas (inventario)</t>
  </si>
  <si>
    <t>Valuacion de Inventario costo</t>
  </si>
  <si>
    <t>Transacciones/ Jornadas</t>
  </si>
  <si>
    <t>Jornada</t>
  </si>
  <si>
    <t>M</t>
  </si>
  <si>
    <t>J</t>
  </si>
  <si>
    <t>V</t>
  </si>
  <si>
    <t>S</t>
  </si>
  <si>
    <t>D</t>
  </si>
  <si>
    <t>L</t>
  </si>
  <si>
    <t xml:space="preserve">Mes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</si>
  <si>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</si>
  <si>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</si>
  <si>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</si>
  <si>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</si>
  <si>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</si>
  <si>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</si>
  <si>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</si>
  <si>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</si>
  <si>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</si>
  <si>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Octubre </t>
  </si>
  <si>
    <t>Noviembre</t>
  </si>
  <si>
    <t>Diciembre</t>
  </si>
  <si>
    <t>Venta en Bs</t>
  </si>
  <si>
    <t>Promedio Tasa $</t>
  </si>
  <si>
    <t>Transacciones</t>
  </si>
  <si>
    <t>Ticket Promedio en Bs</t>
  </si>
  <si>
    <t>Unidades Promedio x Compra</t>
  </si>
  <si>
    <t>Valuacion de Inventario</t>
  </si>
  <si>
    <t>unidades</t>
  </si>
  <si>
    <t>transaccionesxjornada</t>
  </si>
  <si>
    <t>Jugar</t>
  </si>
  <si>
    <t>Piece of Cake</t>
  </si>
  <si>
    <t>¡Te espera una reproducción rápida del juego y una gran diversión!</t>
  </si>
</sst>
</file>

<file path=xl/styles.xml><?xml version="1.0" encoding="utf-8"?>
<styleSheet xmlns="http://schemas.openxmlformats.org/spreadsheetml/2006/main">
  <numFmts count="5">
    <numFmt numFmtId="164" formatCode="0.0"/>
    <numFmt numFmtId="165" formatCode="#,##0.000"/>
    <numFmt numFmtId="166" formatCode="[$-1540A]m/d/yyyy;@"/>
    <numFmt numFmtId="167" formatCode="0.000"/>
    <numFmt numFmtId="168" formatCode="_-* #,##0.00\ _€_-;\-* #,##0.00\ _€_-;_-* &quot;-&quot;??\ _€_-;_-@_-"/>
  </numFmts>
  <fonts count="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2"/>
      <color theme="0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1"/>
      <i val="0"/>
      <strike val="0"/>
      <u val="single"/>
      <sz val="11"/>
      <color theme="0"/>
      <name val="Calibri"/>
      <scheme val="minor"/>
    </font>
    <font>
      <b val="0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0"/>
      <i val="0"/>
      <strike val="0"/>
      <u val="single"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9DC3E6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203864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C9C9C9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0" numFmtId="1" fillId="5" borderId="0" applyFont="0" applyNumberFormat="1" applyFill="1" applyBorder="0" applyAlignment="1">
      <alignment horizontal="center" vertical="center" textRotation="0" wrapText="false" shrinkToFit="false"/>
    </xf>
    <xf xfId="0" fontId="0" numFmtId="3" fillId="5" borderId="0" applyFont="0" applyNumberFormat="1" applyFill="1" applyBorder="0" applyAlignment="1">
      <alignment horizontal="center" vertical="center" textRotation="0" wrapText="false" shrinkToFit="false"/>
    </xf>
    <xf xfId="0" fontId="0" numFmtId="164" fillId="5" borderId="0" applyFont="0" applyNumberFormat="1" applyFill="1" applyBorder="0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center" vertical="center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1">
      <alignment horizontal="center" vertical="center" textRotation="0" wrapText="false" shrinkToFit="false"/>
    </xf>
    <xf xfId="0" fontId="5" numFmtId="0" fillId="8" borderId="0" applyFont="1" applyNumberFormat="0" applyFill="1" applyBorder="0" applyAlignment="1">
      <alignment horizontal="center" vertical="center" textRotation="0" wrapText="false" shrinkToFit="false"/>
    </xf>
    <xf xfId="0" fontId="0" numFmtId="166" fillId="0" borderId="0" applyFont="0" applyNumberFormat="1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0" numFmtId="1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4" fillId="2" borderId="4" applyFont="0" applyNumberFormat="1" applyFill="1" applyBorder="1" applyAlignment="1">
      <alignment horizontal="center" vertical="center" textRotation="0" wrapText="false" shrinkToFit="false"/>
    </xf>
    <xf xfId="0" fontId="0" numFmtId="3" fillId="2" borderId="4" applyFont="0" applyNumberFormat="1" applyFill="1" applyBorder="1" applyAlignment="1">
      <alignment horizontal="center" vertical="center" textRotation="0" wrapText="false" shrinkToFit="false"/>
    </xf>
    <xf xfId="0" fontId="0" numFmtId="164" fillId="2" borderId="4" applyFont="0" applyNumberFormat="1" applyFill="1" applyBorder="1" applyAlignment="1">
      <alignment horizontal="center" vertical="center" textRotation="0" wrapText="false" shrinkToFit="false"/>
    </xf>
    <xf xfId="0" fontId="0" numFmtId="164" fillId="0" borderId="4" applyFont="0" applyNumberFormat="1" applyFill="0" applyBorder="1" applyAlignment="1">
      <alignment horizontal="center" vertical="center" textRotation="0" wrapText="false" shrinkToFit="false"/>
    </xf>
    <xf xfId="0" fontId="0" numFmtId="167" fillId="0" borderId="4" applyFont="0" applyNumberFormat="1" applyFill="0" applyBorder="1" applyAlignment="1">
      <alignment horizontal="center" vertical="center" textRotation="0" wrapText="false" shrinkToFit="false"/>
    </xf>
    <xf xfId="0" fontId="0" numFmtId="168" fillId="0" borderId="4" applyFont="0" applyNumberFormat="1" applyFill="0" applyBorder="1" applyAlignment="1">
      <alignment vertical="center" textRotation="0" wrapText="false" shrinkToFit="false"/>
    </xf>
    <xf xfId="0" fontId="0" numFmtId="1" fillId="0" borderId="4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fb90cc50be47fe9da781a6cef6fa744.png"/><Relationship Id="rId2" Type="http://schemas.openxmlformats.org/officeDocument/2006/relationships/hyperlink" Target="https://www.msn.com/es-ve/play/games/piece-of-cake/cg-9n5mln8fpwg8?cgfrom=cg_prong2_cardgameitem&amp;ocid=winp2fp" TargetMode="External"/><Relationship Id="rId3" Type="http://schemas.openxmlformats.org/officeDocument/2006/relationships/image" Target="../media/a0e74a964f5101dbf92698f3c4772762.png"/><Relationship Id="rId4" Type="http://schemas.openxmlformats.org/officeDocument/2006/relationships/hyperlink" Target="https://www.msn.com/es-ve/play/games/piece-of-cake/cg-9n5mln8fpwg8?cgfrom=cg_prong2_cardgameitem&amp;ocid=winp2fp" TargetMode="External"/></Relationships>
</file>

<file path=xl/drawings/drawing2.xml><?xml version="1.0" encoding="utf-8"?>
<xml/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30</xdr:row>
      <xdr:rowOff>0</xdr:rowOff>
    </xdr:from>
    <xdr:to>
      <xdr:col>17</xdr:col>
      <xdr:colOff>38100</xdr:colOff>
      <xdr:row>34</xdr:row>
      <xdr:rowOff>38100</xdr:rowOff>
    </xdr:to>
    <xdr:pic>
      <xdr:nvPicPr>
        <xdr:cNvPr id="1" name="Imagen 1" descr="Piece of Cake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18</xdr:col>
      <xdr:colOff>371475</xdr:colOff>
      <xdr:row>37</xdr:row>
      <xdr:rowOff>104775</xdr:rowOff>
    </xdr:to>
    <xdr:pic>
      <xdr:nvPicPr>
        <xdr:cNvPr id="3" name="Imagen 3" descr="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895475" cy="1057275"/>
        </a:xfrm>
        <a:prstGeom prst="rect">
          <a:avLst/>
        </a:prstGeom>
      </xdr:spPr>
    </xdr:pic>
    <xdr:clientData/>
  </xdr:twoCellAnchor>
</xdr:wsDr>
</file>

<file path=xl/drawings/drawing4.xml><?xml version="1.0" encoding="utf-8"?>
<xml/>
</file>

<file path=xl/drawings/drawing5.xml><?xml version="1.0" encoding="utf-8"?>
<xml/>
</file>

<file path=xl/drawings/drawing6.xml><?xml version="1.0" encoding="utf-8"?>
<xml/>
</file>

<file path=xl/drawings/drawing7.xml><?xml version="1.0" encoding="utf-8"?>
<xml/>
</file>

<file path=xl/drawings/drawing8.xml><?xml version="1.0" encoding="utf-8"?>
<xml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5" Type="http://schemas.openxmlformats.org/officeDocument/2006/relationships/drawing" Target="../drawings/drawing3.xml"/><Relationship Id="rId_hyperlink_1" Type="http://schemas.openxmlformats.org/officeDocument/2006/relationships/hyperlink" Target="https://www.msn.com/es-ve/play/games/piece-of-cake/cg-9n5mln8fpwg8?cgfrom=cg_prong2_cardgameitem&amp;ocid=winp2fp" TargetMode="External"/><Relationship Id="rId_hyperlink_2" Type="http://schemas.openxmlformats.org/officeDocument/2006/relationships/hyperlink" Target="https://www.msn.com/es-ve/play/games/piece-of-cake/cg-9n5mln8fpwg8?cgfrom=cg_prong2_cardgameitem&amp;ocid=winp2fp" TargetMode="External"/><Relationship Id="rId_hyperlink_3" Type="http://schemas.openxmlformats.org/officeDocument/2006/relationships/hyperlink" Target="https://www.msn.com/es-ve/play/games/piece-of-cake/cg-9n5mln8fpwg8?cgfrom=cg_prong2_cardgameitem&amp;ocid=winp2fp" TargetMode="External"/><Relationship Id="rId_hyperlink_4" Type="http://schemas.openxmlformats.org/officeDocument/2006/relationships/hyperlink" Target="https://www.msn.com/es-ve/play/games/piece-of-cake/cg-9n5mln8fpwg8?cgfrom=cg_prong2_cardgameitem&amp;ocid=winp2fp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59"/>
  <sheetViews>
    <sheetView tabSelected="1" workbookViewId="0" zoomScale="80" zoomScaleNormal="80" showGridLines="false" showRowColHeaders="1" topLeftCell="A22">
      <selection activeCell="F34" sqref="F34"/>
    </sheetView>
  </sheetViews>
  <sheetFormatPr defaultRowHeight="14.4" defaultColWidth="11.42578125" outlineLevelRow="0" outlineLevelCol="0"/>
  <cols>
    <col min="1" max="1" width="8" customWidth="true" style="1"/>
    <col min="2" max="2" width="25.28515625" customWidth="true" style="1"/>
    <col min="3" max="3" width="22.5703125" customWidth="true" style="1"/>
    <col min="4" max="4" width="15.5703125" customWidth="true" style="1"/>
    <col min="5" max="5" width="18.28515625" customWidth="true" style="1"/>
    <col min="6" max="6" width="14.28515625" customWidth="true" style="1"/>
    <col min="7" max="7" width="11.42578125" style="1"/>
    <col min="8" max="8" width="18.85546875" customWidth="true" style="1"/>
    <col min="9" max="9" width="20.85546875" customWidth="true" style="1"/>
    <col min="10" max="10" width="20.140625" customWidth="true" style="1"/>
    <col min="11" max="11" width="18.85546875" customWidth="true" style="1"/>
    <col min="12" max="12" width="25.7109375" customWidth="true" style="1"/>
    <col min="13" max="13" width="21.28515625" customWidth="true" style="1"/>
    <col min="14" max="14" width="15" customWidth="true" style="1"/>
    <col min="15" max="15" width="11.42578125" style="1"/>
  </cols>
  <sheetData>
    <row r="1" spans="1:15">
      <c r="B1" s="1"/>
    </row>
    <row r="2" spans="1:15" customHeight="1" ht="15.75">
      <c r="B2" s="10" t="s">
        <v>0</v>
      </c>
      <c r="C2" s="22" t="s">
        <v>1</v>
      </c>
    </row>
    <row r="3" spans="1:15" customHeight="1" ht="31.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</row>
    <row r="4" spans="1:15">
      <c r="A4" s="3" t="s">
        <v>16</v>
      </c>
      <c r="B4" s="23">
        <v>43831.0</v>
      </c>
      <c r="C4" s="19">
        <v>10938.47999999999956</v>
      </c>
      <c r="D4" s="11">
        <f>IF(ISERROR(C4/E4),"-",C4/E4)</f>
        <v>235.23612903225805</v>
      </c>
      <c r="E4" s="19">
        <v>46.5</v>
      </c>
      <c r="F4" s="1">
        <v>119</v>
      </c>
      <c r="G4" s="1">
        <v>300</v>
      </c>
      <c r="H4" s="12">
        <f>IF(ISERROR(C4/F4),"-",C4/F4)</f>
        <v>91.92</v>
      </c>
      <c r="I4" s="13">
        <f>IF(ISERROR(G4/F4),"-",G4/F4)</f>
        <v>2.52100840336134</v>
      </c>
      <c r="J4" s="13">
        <f>IF(ISERROR(H4/E4),"-",H4/E4)</f>
        <v>1.97677419354839</v>
      </c>
      <c r="K4" s="1">
        <v>9029</v>
      </c>
      <c r="L4" s="2">
        <v>21848.72999999999956</v>
      </c>
      <c r="M4" s="11">
        <f>IF(ISERROR(F4/N4),"-",F4/N4)</f>
        <v>29.75</v>
      </c>
      <c r="N4" s="1">
        <v>4</v>
      </c>
    </row>
    <row r="5" spans="1:15">
      <c r="A5" s="3" t="s">
        <v>17</v>
      </c>
      <c r="B5" s="23">
        <v>43832.0</v>
      </c>
      <c r="C5" s="19">
        <v>11733.56999999999971</v>
      </c>
      <c r="D5" s="11">
        <f>IF(ISERROR(C5/E5),"-",C5/E5)</f>
        <v>250.44973319103519</v>
      </c>
      <c r="E5" s="19">
        <v>46.85</v>
      </c>
      <c r="F5" s="1">
        <v>138</v>
      </c>
      <c r="G5" s="1">
        <v>257</v>
      </c>
      <c r="H5" s="12">
        <f>IF(ISERROR(C5/F5),"-",C5/F5)</f>
        <v>85.025869565217391</v>
      </c>
      <c r="I5" s="13">
        <f>IF(ISERROR(G5/F5),"-",G5/F5)</f>
        <v>1.86231884057971</v>
      </c>
      <c r="J5" s="13">
        <f>IF(ISERROR(H5/E5),"-",H5/E5)</f>
        <v>1.81485313906547</v>
      </c>
      <c r="K5" s="1">
        <v>9848</v>
      </c>
      <c r="L5" s="2">
        <v>22358.31000000000131</v>
      </c>
      <c r="M5" s="11">
        <f>IF(ISERROR(F5/N5),"-",F5/N5)</f>
        <v>34.5</v>
      </c>
      <c r="N5" s="1">
        <v>4</v>
      </c>
    </row>
    <row r="6" spans="1:15">
      <c r="A6" s="3" t="s">
        <v>18</v>
      </c>
      <c r="B6" s="23">
        <v>43833.0</v>
      </c>
      <c r="C6" s="19">
        <v>12356.45000000000073</v>
      </c>
      <c r="D6" s="11">
        <f>IF(ISERROR(C6/E6),"-",C6/E6)</f>
        <v>261.78919491525426</v>
      </c>
      <c r="E6" s="19">
        <v>47.2</v>
      </c>
      <c r="F6" s="1">
        <v>132</v>
      </c>
      <c r="G6" s="1">
        <v>303</v>
      </c>
      <c r="H6" s="12">
        <f>IF(ISERROR(C6/F6),"-",C6/F6)</f>
        <v>93.6094696969697</v>
      </c>
      <c r="I6" s="13">
        <f>IF(ISERROR(G6/F6),"-",G6/F6)</f>
        <v>2.29545454545455</v>
      </c>
      <c r="J6" s="13">
        <f>IF(ISERROR(H6/E6),"-",H6/E6)</f>
        <v>1.98325147663071</v>
      </c>
      <c r="K6" s="1">
        <v>9914</v>
      </c>
      <c r="L6" s="2">
        <v>22631.15999999999985</v>
      </c>
      <c r="M6" s="11">
        <f>IF(ISERROR(F6/N6),"-",F6/N6)</f>
        <v>44</v>
      </c>
      <c r="N6" s="1">
        <v>3</v>
      </c>
    </row>
    <row r="7" spans="1:15">
      <c r="A7" s="1" t="s">
        <v>19</v>
      </c>
      <c r="B7" s="23">
        <v>43834.0</v>
      </c>
      <c r="C7" s="19">
        <v>10562.079999999999927</v>
      </c>
      <c r="D7" s="11">
        <f>IF(ISERROR(C7/E7),"-",C7/E7)</f>
        <v>222.12576235541536</v>
      </c>
      <c r="E7" s="19">
        <v>47.55</v>
      </c>
      <c r="F7" s="1">
        <v>121</v>
      </c>
      <c r="G7" s="1">
        <v>225</v>
      </c>
      <c r="H7" s="12">
        <f>IF(ISERROR(C7/F7),"-",C7/F7)</f>
        <v>87.2899173553719</v>
      </c>
      <c r="I7" s="13">
        <f>IF(ISERROR(G7/F7),"-",G7/F7)</f>
        <v>1.8595041322314</v>
      </c>
      <c r="J7" s="13">
        <f>IF(ISERROR(H7/E7),"-",H7/E7)</f>
        <v>1.83575010211087</v>
      </c>
      <c r="K7" s="1">
        <v>9672</v>
      </c>
      <c r="L7" s="2">
        <v>22221.95999999999913</v>
      </c>
      <c r="M7" s="11">
        <f>IF(ISERROR(F7/N7),"-",F7/N7)</f>
        <v>40.33333333333334</v>
      </c>
      <c r="N7" s="1">
        <v>3</v>
      </c>
    </row>
    <row r="8" spans="1:15">
      <c r="A8" s="1" t="s">
        <v>20</v>
      </c>
      <c r="B8" s="23">
        <v>43835.0</v>
      </c>
      <c r="C8" s="19">
        <v>9650.45999999999913</v>
      </c>
      <c r="D8" s="11">
        <f>IF(ISERROR(C8/E8),"-",C8/E8)</f>
        <v>201.47098121085594</v>
      </c>
      <c r="E8" s="19">
        <v>47.9</v>
      </c>
      <c r="F8" s="1">
        <v>119</v>
      </c>
      <c r="G8" s="1">
        <v>244</v>
      </c>
      <c r="H8" s="12">
        <f>IF(ISERROR(C8/F8),"-",C8/F8)</f>
        <v>81.096302521008397</v>
      </c>
      <c r="I8" s="13">
        <f>IF(ISERROR(G8/F8),"-",G8/F8)</f>
        <v>2.050420168067227</v>
      </c>
      <c r="J8" s="13">
        <f>IF(ISERROR(H8/E8),"-",H8/E8)</f>
        <v>1.69303345555341</v>
      </c>
      <c r="K8" s="1">
        <v>9424</v>
      </c>
      <c r="L8" s="2">
        <v>21956.22999999999956</v>
      </c>
      <c r="M8" s="11">
        <f>IF(ISERROR(F8/N8),"-",F8/N8)</f>
        <v>39.66666666666666</v>
      </c>
      <c r="N8" s="1">
        <v>3</v>
      </c>
    </row>
    <row r="9" spans="1:15">
      <c r="A9" s="3" t="s">
        <v>21</v>
      </c>
      <c r="B9" s="23">
        <v>43836.0</v>
      </c>
      <c r="C9" s="19">
        <v>11517.79999999999927</v>
      </c>
      <c r="D9" s="11">
        <f>IF(ISERROR(C9/E9),"-",C9/E9)</f>
        <v>238.71088082901554</v>
      </c>
      <c r="E9" s="19">
        <v>48.25</v>
      </c>
      <c r="F9" s="1">
        <v>124</v>
      </c>
      <c r="G9" s="1">
        <v>261</v>
      </c>
      <c r="H9" s="12">
        <f>IF(ISERROR(C9/F9),"-",C9/F9)</f>
        <v>92.88548387096773</v>
      </c>
      <c r="I9" s="13">
        <f>IF(ISERROR(G9/F9),"-",G9/F9)</f>
        <v>2.10483870967742</v>
      </c>
      <c r="J9" s="13">
        <f>IF(ISERROR(H9/E9),"-",H9/E9)</f>
        <v>1.92508774862109</v>
      </c>
      <c r="L9" s="2"/>
      <c r="M9" s="11">
        <f>IF(ISERROR(F9/N9),"-",F9/N9)</f>
        <v>41.33333333333334</v>
      </c>
      <c r="N9" s="1">
        <v>3</v>
      </c>
    </row>
    <row r="10" spans="1:15">
      <c r="A10" s="3" t="s">
        <v>16</v>
      </c>
      <c r="B10" s="23">
        <v>43837.0</v>
      </c>
      <c r="C10" s="19">
        <v>13083.059999999999491</v>
      </c>
      <c r="D10" s="11">
        <f>IF(ISERROR(C10/E10),"-",C10/E10)</f>
        <v>269.19876543209875</v>
      </c>
      <c r="E10" s="19">
        <v>48.6</v>
      </c>
      <c r="F10" s="1">
        <v>163</v>
      </c>
      <c r="G10" s="1">
        <v>339</v>
      </c>
      <c r="H10" s="12">
        <f>IF(ISERROR(C10/F10),"-",C10/F10)</f>
        <v>80.26417177914111</v>
      </c>
      <c r="I10" s="13">
        <f>IF(ISERROR(G10/F10),"-",G10/F10)</f>
        <v>2.079754601226994</v>
      </c>
      <c r="J10" s="13">
        <f>IF(ISERROR(H10/E10),"-",H10/E10)</f>
        <v>1.65152616829508</v>
      </c>
      <c r="K10" s="1">
        <v>8936</v>
      </c>
      <c r="L10" s="2">
        <v>21268</v>
      </c>
      <c r="M10" s="11">
        <f>IF(ISERROR(F10/N10),"-",F10/N10)</f>
        <v>40.75</v>
      </c>
      <c r="N10" s="1">
        <v>4</v>
      </c>
    </row>
    <row r="11" spans="1:15">
      <c r="A11" s="3" t="s">
        <v>16</v>
      </c>
      <c r="B11" s="23">
        <v>43838.0</v>
      </c>
      <c r="C11" s="19">
        <v>10166.72999999999956</v>
      </c>
      <c r="D11" s="11">
        <f>IF(ISERROR(C11/E11),"-",C11/E11)</f>
        <v>207.69622063329928</v>
      </c>
      <c r="E11" s="19">
        <v>48.95</v>
      </c>
      <c r="F11" s="1">
        <v>117</v>
      </c>
      <c r="G11" s="1">
        <v>234</v>
      </c>
      <c r="H11" s="12">
        <f>IF(ISERROR(C11/F11),"-",C11/F11)</f>
        <v>86.8951282051282</v>
      </c>
      <c r="I11" s="13">
        <f>IF(ISERROR(G11/F11),"-",G11/F11)</f>
        <v>2</v>
      </c>
      <c r="J11" s="13">
        <f>IF(ISERROR(H11/E11),"-",H11/E11)</f>
        <v>1.77518137293418</v>
      </c>
      <c r="K11" s="1">
        <v>9383</v>
      </c>
      <c r="L11" s="2">
        <v>22195.52999999999884</v>
      </c>
      <c r="M11" s="11">
        <f>IF(ISERROR(F11/N11),"-",F11/N11)</f>
        <v>39</v>
      </c>
      <c r="N11" s="1">
        <v>3</v>
      </c>
    </row>
    <row r="12" spans="1:15">
      <c r="A12" s="3" t="s">
        <v>17</v>
      </c>
      <c r="B12" s="23">
        <v>43839.0</v>
      </c>
      <c r="C12" s="19">
        <v>12156.040000000000873</v>
      </c>
      <c r="D12" s="11">
        <f>IF(ISERROR(C12/E12),"-",C12/E12)</f>
        <v>246.57281947261666</v>
      </c>
      <c r="E12" s="19">
        <v>49.3</v>
      </c>
      <c r="F12" s="1">
        <v>138</v>
      </c>
      <c r="G12" s="1">
        <v>295</v>
      </c>
      <c r="H12" s="12">
        <f>IF(ISERROR(C12/F12),"-",C12/F12)</f>
        <v>88.087246376811606</v>
      </c>
      <c r="I12" s="13">
        <f>IF(ISERROR(G12/F12),"-",G12/F12)</f>
        <v>2.13768115942029</v>
      </c>
      <c r="J12" s="13">
        <f>IF(ISERROR(H12/E12),"-",H12/E12)</f>
        <v>1.78675956139577</v>
      </c>
      <c r="K12" s="1">
        <v>9231</v>
      </c>
      <c r="L12" s="2">
        <v>22179.95999999999913</v>
      </c>
      <c r="M12" s="11">
        <f>IF(ISERROR(F12/N12),"-",F12/N12)</f>
        <v>46</v>
      </c>
      <c r="N12" s="1">
        <v>3</v>
      </c>
    </row>
    <row r="13" spans="1:15">
      <c r="A13" s="3" t="s">
        <v>17</v>
      </c>
      <c r="B13" s="23">
        <v>43839.0</v>
      </c>
      <c r="C13" s="19">
        <v>13968.88999999999942</v>
      </c>
      <c r="D13" s="11">
        <f>IF(ISERROR(C13/E13),"-",C13/E13)</f>
        <v>281.34723061430009</v>
      </c>
      <c r="E13" s="19">
        <v>49.65</v>
      </c>
      <c r="F13" s="1">
        <v>129</v>
      </c>
      <c r="G13" s="1">
        <v>251</v>
      </c>
      <c r="H13" s="12">
        <f>IF(ISERROR(C13/F13),"-",C13/F13)</f>
        <v>108.28596899224806</v>
      </c>
      <c r="I13" s="13">
        <f>IF(ISERROR(G13/F13),"-",G13/F13)</f>
        <v>1.94573643410853</v>
      </c>
      <c r="J13" s="13">
        <f>IF(ISERROR(H13/E13),"-",H13/E13)</f>
        <v>2.18098628383178</v>
      </c>
      <c r="K13" s="1">
        <v>9598</v>
      </c>
      <c r="L13" s="2">
        <v>22714.049999999999272</v>
      </c>
      <c r="M13" s="11">
        <f>IF(ISERROR(F13/N13),"-",F13/N13)</f>
        <v>43</v>
      </c>
      <c r="N13" s="1">
        <v>3</v>
      </c>
    </row>
    <row r="14" spans="1:15">
      <c r="A14" s="1" t="s">
        <v>18</v>
      </c>
      <c r="B14" s="23">
        <v>43840.0</v>
      </c>
      <c r="C14" s="19">
        <v>9244.70999999999913</v>
      </c>
      <c r="D14" s="11">
        <f>IF(ISERROR(C14/E14),"-",C14/E14)</f>
        <v>184.89419999999998</v>
      </c>
      <c r="E14" s="19">
        <v>50.0</v>
      </c>
      <c r="F14" s="1">
        <v>117</v>
      </c>
      <c r="G14" s="1">
        <v>234</v>
      </c>
      <c r="H14" s="12">
        <f>IF(ISERROR(C14/F14),"-",C14/F14)</f>
        <v>79.014615384615382</v>
      </c>
      <c r="I14" s="13">
        <f>IF(ISERROR(G14/F14),"-",G14/F14)</f>
        <v>2</v>
      </c>
      <c r="J14" s="13">
        <f>IF(ISERROR(H14/E14),"-",H14/E14)</f>
        <v>1.58029230769231</v>
      </c>
      <c r="K14" s="1">
        <v>9581</v>
      </c>
      <c r="L14" s="2">
        <v>22981.41999999999825</v>
      </c>
      <c r="M14" s="11">
        <f>IF(ISERROR(F14/N14),"-",F14/N14)</f>
        <v>39</v>
      </c>
      <c r="N14" s="1">
        <v>3</v>
      </c>
    </row>
    <row r="15" spans="1:15">
      <c r="A15" s="1" t="s">
        <v>19</v>
      </c>
      <c r="B15" s="23">
        <v>43841.0</v>
      </c>
      <c r="C15" s="19">
        <v>10663.079999999999927</v>
      </c>
      <c r="D15" s="11">
        <f>IF(ISERROR(C15/E15),"-",C15/E15)</f>
        <v>211.77914597815291</v>
      </c>
      <c r="E15" s="19">
        <v>50.35</v>
      </c>
      <c r="F15" s="1">
        <v>125</v>
      </c>
      <c r="G15" s="1">
        <v>242</v>
      </c>
      <c r="H15" s="12">
        <f>IF(ISERROR(C15/F15),"-",C15/F15)</f>
        <v>85.30464000000001</v>
      </c>
      <c r="I15" s="13">
        <f>IF(ISERROR(G15/F15),"-",G15/F15)</f>
        <v>1.936</v>
      </c>
      <c r="J15" s="13">
        <f>IF(ISERROR(H15/E15),"-",H15/E15)</f>
        <v>1.69423316782522</v>
      </c>
      <c r="K15" s="1">
        <v>10445</v>
      </c>
      <c r="L15" s="2">
        <v>23092.7400000000016</v>
      </c>
      <c r="M15" s="11">
        <f>IF(ISERROR(F15/N15),"-",F15/N15)</f>
        <v>41.66666666666666</v>
      </c>
      <c r="N15" s="1">
        <v>3</v>
      </c>
    </row>
    <row r="16" spans="1:15">
      <c r="A16" s="3" t="s">
        <v>20</v>
      </c>
      <c r="B16" s="23">
        <v>43842.0</v>
      </c>
      <c r="C16" s="19">
        <v>11125.040000000000873</v>
      </c>
      <c r="D16" s="11">
        <f>IF(ISERROR(C16/E16),"-",C16/E16)</f>
        <v>219.42879684418148</v>
      </c>
      <c r="E16" s="19">
        <v>50.7</v>
      </c>
      <c r="F16" s="1">
        <v>120</v>
      </c>
      <c r="G16" s="1">
        <v>233</v>
      </c>
      <c r="H16" s="12">
        <f>IF(ISERROR(C16/F16),"-",C16/F16)</f>
        <v>92.70866666666667</v>
      </c>
      <c r="I16" s="13">
        <f>IF(ISERROR(G16/F16),"-",G16/F16)</f>
        <v>1.94166666666667</v>
      </c>
      <c r="J16" s="13">
        <f>IF(ISERROR(H16/E16),"-",H16/E16)</f>
        <v>1.82857330703485</v>
      </c>
      <c r="L16" s="2"/>
      <c r="M16" s="11">
        <f>IF(ISERROR(F16/N16),"-",F16/N16)</f>
        <v>40</v>
      </c>
      <c r="N16" s="1">
        <v>3</v>
      </c>
    </row>
    <row r="17" spans="1:15">
      <c r="A17" s="3" t="s">
        <v>21</v>
      </c>
      <c r="B17" s="23">
        <v>43843.0</v>
      </c>
      <c r="C17" s="19">
        <v>13316.43000000000029</v>
      </c>
      <c r="D17" s="11">
        <f>IF(ISERROR(C17/E17),"-",C17/E17)</f>
        <v>260.85073457394714</v>
      </c>
      <c r="E17" s="19">
        <v>51.049999999999997</v>
      </c>
      <c r="F17" s="1">
        <v>145</v>
      </c>
      <c r="G17" s="1">
        <v>260</v>
      </c>
      <c r="H17" s="12">
        <f>IF(ISERROR(C17/F17),"-",C17/F17)</f>
        <v>91.83744827586207</v>
      </c>
      <c r="I17" s="13">
        <f>IF(ISERROR(G17/F17),"-",G17/F17)</f>
        <v>1.79310344827586</v>
      </c>
      <c r="J17" s="13">
        <f>IF(ISERROR(H17/E17),"-",H17/E17)</f>
        <v>1.7989705832686</v>
      </c>
      <c r="K17" s="1">
        <v>10166</v>
      </c>
      <c r="L17" s="2">
        <v>22892.73600000000079</v>
      </c>
      <c r="M17" s="11">
        <f>IF(ISERROR(F17/N17),"-",F17/N17)</f>
        <v>48.33333333333334</v>
      </c>
      <c r="N17" s="1">
        <v>3</v>
      </c>
    </row>
    <row r="18" spans="1:15">
      <c r="A18" s="3" t="s">
        <v>16</v>
      </c>
      <c r="B18" s="23">
        <v>43844.0</v>
      </c>
      <c r="C18" s="19">
        <v>10424.80999999999949</v>
      </c>
      <c r="D18" s="11">
        <f>IF(ISERROR(C18/E18),"-",C18/E18)</f>
        <v>202.81731517509726</v>
      </c>
      <c r="E18" s="19">
        <v>51.4</v>
      </c>
      <c r="F18" s="1">
        <v>130</v>
      </c>
      <c r="G18" s="1">
        <v>237</v>
      </c>
      <c r="H18" s="12">
        <f>IF(ISERROR(C18/F18),"-",C18/F18)</f>
        <v>80.19084615384615</v>
      </c>
      <c r="I18" s="13">
        <f>IF(ISERROR(G18/F18),"-",G18/F18)</f>
        <v>1.82307692307692</v>
      </c>
      <c r="J18" s="13">
        <f>IF(ISERROR(H18/E18),"-",H18/E18)</f>
        <v>1.56013319365459</v>
      </c>
      <c r="K18" s="1">
        <v>10166</v>
      </c>
      <c r="L18" s="2">
        <v>23005.4900000000016</v>
      </c>
      <c r="M18" s="11">
        <f>IF(ISERROR(F18/N18),"-",F18/N18)</f>
        <v>43.33333333333334</v>
      </c>
      <c r="N18" s="1">
        <v>3</v>
      </c>
    </row>
    <row r="19" spans="1:15">
      <c r="A19" s="3" t="s">
        <v>17</v>
      </c>
      <c r="B19" s="23">
        <v>43846.0</v>
      </c>
      <c r="C19" s="19">
        <v>3431.32000000000016</v>
      </c>
      <c r="D19" s="11">
        <f>IF(ISERROR(C19/E19),"-",C19/E19)</f>
        <v>66.3057004830918</v>
      </c>
      <c r="E19" s="19">
        <v>51.75</v>
      </c>
      <c r="F19" s="1">
        <v>32</v>
      </c>
      <c r="G19" s="1">
        <v>71</v>
      </c>
      <c r="H19" s="12">
        <f>IF(ISERROR(C19/F19),"-",C19/F19)</f>
        <v>107.22875000000001</v>
      </c>
      <c r="I19" s="13">
        <f>IF(ISERROR(G19/F19),"-",G19/F19)</f>
        <v>2.21875</v>
      </c>
      <c r="J19" s="13">
        <f>IF(ISERROR(H19/E19),"-",H19/E19)</f>
        <v>2.072053140096619</v>
      </c>
      <c r="K19" s="2"/>
      <c r="L19" s="2"/>
      <c r="M19" s="11">
        <f>IF(ISERROR(F19/N19),"-",F19/N19)</f>
        <v>10.66666666666667</v>
      </c>
      <c r="N19" s="1">
        <v>3</v>
      </c>
    </row>
    <row r="20" spans="1:15">
      <c r="A20" s="3" t="s">
        <v>18</v>
      </c>
      <c r="B20" s="23">
        <v>43847.0</v>
      </c>
      <c r="C20" s="19">
        <v>13542.55999999999949</v>
      </c>
      <c r="D20" s="11">
        <f>IF(ISERROR(C20/E20),"-",C20/E20)</f>
        <v>259.93397312859884</v>
      </c>
      <c r="E20" s="19">
        <v>52.1</v>
      </c>
      <c r="F20" s="1">
        <v>163</v>
      </c>
      <c r="G20" s="1">
        <v>308</v>
      </c>
      <c r="H20" s="12">
        <f>IF(ISERROR(C20/F20),"-",C20/F20)</f>
        <v>83.083190184049073</v>
      </c>
      <c r="I20" s="13">
        <f>IF(ISERROR(G20/F20),"-",G20/F20)</f>
        <v>1.88957055214724</v>
      </c>
      <c r="J20" s="13">
        <f>IF(ISERROR(H20/E20),"-",H20/E20)</f>
        <v>1.5946869517092</v>
      </c>
      <c r="K20" s="2">
        <v>10125</v>
      </c>
      <c r="L20" s="2">
        <v>23248.0099999999983993</v>
      </c>
      <c r="M20" s="11">
        <f>IF(ISERROR(F20/N20),"-",F20/N20)</f>
        <v>54.33333333333334</v>
      </c>
      <c r="N20" s="1">
        <v>3</v>
      </c>
    </row>
    <row r="21" spans="1:15">
      <c r="A21" s="1" t="s">
        <v>19</v>
      </c>
      <c r="B21" s="23">
        <v>43848.0</v>
      </c>
      <c r="C21" s="19">
        <v>14068.72999999999956</v>
      </c>
      <c r="D21" s="11">
        <f>IF(ISERROR(C21/E21),"-",C21/E21)</f>
        <v>268.23126787416584</v>
      </c>
      <c r="E21" s="19">
        <v>52.45</v>
      </c>
      <c r="F21" s="1">
        <v>137</v>
      </c>
      <c r="G21" s="1">
        <v>234</v>
      </c>
      <c r="H21" s="12">
        <f>IF(ISERROR(C21/F21),"-",C21/F21)</f>
        <v>102.6914598540146</v>
      </c>
      <c r="I21" s="13">
        <f>IF(ISERROR(G21/F21),"-",G21/F21)</f>
        <v>1.70802919708029</v>
      </c>
      <c r="J21" s="13">
        <f>IF(ISERROR(H21/E21),"-",H21/E21)</f>
        <v>1.95789246623479</v>
      </c>
      <c r="K21" s="1">
        <v>10004</v>
      </c>
      <c r="L21" s="2">
        <v>23077.45999999999913</v>
      </c>
      <c r="M21" s="11">
        <f>IF(ISERROR(F21/N21),"-",F21/N21)</f>
        <v>45.66666666666666</v>
      </c>
      <c r="N21" s="1">
        <v>3</v>
      </c>
    </row>
    <row r="22" spans="1:15">
      <c r="A22" s="1" t="s">
        <v>20</v>
      </c>
      <c r="B22" s="23">
        <v>43849.0</v>
      </c>
      <c r="C22" s="19">
        <v>12632.3799999999992</v>
      </c>
      <c r="D22" s="11">
        <f>IF(ISERROR(C22/E22),"-",C22/E22)</f>
        <v>239.24962121212121</v>
      </c>
      <c r="E22" s="19">
        <v>52.8</v>
      </c>
      <c r="F22" s="1">
        <v>126</v>
      </c>
      <c r="G22" s="1">
        <v>217</v>
      </c>
      <c r="H22" s="12">
        <f>IF(ISERROR(C22/F22),"-",C22/F22)</f>
        <v>100.25698412698412</v>
      </c>
      <c r="I22" s="13">
        <f>IF(ISERROR(G22/F22),"-",G22/F22)</f>
        <v>1.72222222222222</v>
      </c>
      <c r="J22" s="13">
        <f>IF(ISERROR(H22/E22),"-",H22/E22)</f>
        <v>1.89880651755652</v>
      </c>
      <c r="K22" s="1">
        <v>10080</v>
      </c>
      <c r="L22" s="2">
        <v>23324.90999999999985</v>
      </c>
      <c r="M22" s="11">
        <f>IF(ISERROR(F22/N22),"-",F22/N22)</f>
        <v>42</v>
      </c>
      <c r="N22" s="1">
        <v>3</v>
      </c>
    </row>
    <row r="23" spans="1:15">
      <c r="A23" s="3" t="s">
        <v>16</v>
      </c>
      <c r="B23" s="23">
        <v>43851.0</v>
      </c>
      <c r="C23" s="19">
        <v>10675.13999999999942</v>
      </c>
      <c r="D23" s="11">
        <f>IF(ISERROR(C23/E23),"-",C23/E23)</f>
        <v>200.84929444967074</v>
      </c>
      <c r="E23" s="19">
        <v>53.15</v>
      </c>
      <c r="F23" s="1">
        <v>126</v>
      </c>
      <c r="G23" s="1">
        <v>242</v>
      </c>
      <c r="H23" s="12">
        <f>IF(ISERROR(C23/F23),"-",C23/F23)</f>
        <v>84.72333333333333</v>
      </c>
      <c r="I23" s="13">
        <f>IF(ISERROR(G23/F23),"-",G23/F23)</f>
        <v>1.92063492063492</v>
      </c>
      <c r="J23" s="13">
        <f>IF(ISERROR(H23/E23),"-",H23/E23)</f>
        <v>1.59404201944183</v>
      </c>
      <c r="L23" s="2"/>
      <c r="M23" s="11">
        <f>IF(ISERROR(F23/N23),"-",F23/N23)</f>
        <v>42</v>
      </c>
      <c r="N23" s="1">
        <v>3</v>
      </c>
    </row>
    <row r="24" spans="1:15">
      <c r="A24" s="3" t="s">
        <v>16</v>
      </c>
      <c r="B24" s="23">
        <v>43852.0</v>
      </c>
      <c r="C24" s="19">
        <v>12340.75</v>
      </c>
      <c r="D24" s="11">
        <f>IF(ISERROR(C24/E24),"-",C24/E24)</f>
        <v>230.66822429906543</v>
      </c>
      <c r="E24" s="19">
        <v>53.5</v>
      </c>
      <c r="F24" s="1">
        <v>127</v>
      </c>
      <c r="G24" s="1">
        <v>235</v>
      </c>
      <c r="H24" s="12">
        <f>IF(ISERROR(C24/F24),"-",C24/F24)</f>
        <v>97.17125984251969</v>
      </c>
      <c r="I24" s="13">
        <f>IF(ISERROR(G24/F24),"-",G24/F24)</f>
        <v>1.8503937007874</v>
      </c>
      <c r="J24" s="13">
        <f>IF(ISERROR(H24/E24),"-",H24/E24)</f>
        <v>1.8162852307013</v>
      </c>
      <c r="K24" s="1">
        <v>9622</v>
      </c>
      <c r="L24" s="2">
        <v>22529.65999999999985</v>
      </c>
      <c r="M24" s="11">
        <f>IF(ISERROR(F24/N24),"-",F24/N24)</f>
        <v>42.33333333333334</v>
      </c>
      <c r="N24" s="1">
        <v>3</v>
      </c>
    </row>
    <row r="25" spans="1:15">
      <c r="A25" s="3" t="s">
        <v>17</v>
      </c>
      <c r="B25" s="23">
        <v>43853.0</v>
      </c>
      <c r="C25" s="19">
        <v>12648.80999999999949</v>
      </c>
      <c r="D25" s="11">
        <f>IF(ISERROR(C25/E25),"-",C25/E25)</f>
        <v>234.88969359331475</v>
      </c>
      <c r="E25" s="19">
        <v>53.85</v>
      </c>
      <c r="F25" s="1">
        <v>145</v>
      </c>
      <c r="G25" s="1">
        <v>279</v>
      </c>
      <c r="H25" s="12">
        <f>IF(ISERROR(C25/F25),"-",C25/F25)</f>
        <v>87.2331724137931</v>
      </c>
      <c r="I25" s="13">
        <f>IF(ISERROR(G25/F25),"-",G25/F25)</f>
        <v>1.92413793103448</v>
      </c>
      <c r="J25" s="13">
        <f>IF(ISERROR(H25/E25),"-",H25/E25)</f>
        <v>1.61992892133321</v>
      </c>
      <c r="K25" s="1">
        <v>9798</v>
      </c>
      <c r="L25" s="2">
        <v>22656.4900000000016</v>
      </c>
      <c r="M25" s="11">
        <f>IF(ISERROR(F25/N25),"-",F25/N25)</f>
        <v>48.33333333333334</v>
      </c>
      <c r="N25" s="1">
        <v>3</v>
      </c>
    </row>
    <row r="26" spans="1:15">
      <c r="A26" s="3" t="s">
        <v>18</v>
      </c>
      <c r="B26" s="23">
        <v>43854.0</v>
      </c>
      <c r="C26" s="19">
        <v>13201.44000000000051</v>
      </c>
      <c r="D26" s="11">
        <f>IF(ISERROR(C26/E26),"-",C26/E26)</f>
        <v>243.56900369003691</v>
      </c>
      <c r="E26" s="19">
        <v>54.2</v>
      </c>
      <c r="F26" s="1">
        <v>127</v>
      </c>
      <c r="G26" s="1">
        <v>249</v>
      </c>
      <c r="H26" s="12">
        <f>IF(ISERROR(C26/F26),"-",C26/F26)</f>
        <v>103.94834645669292</v>
      </c>
      <c r="I26" s="13">
        <f>IF(ISERROR(G26/F26),"-",G26/F26)</f>
        <v>1.96062992125984</v>
      </c>
      <c r="J26" s="13">
        <f>IF(ISERROR(H26/E26),"-",H26/E26)</f>
        <v>1.91786617078769</v>
      </c>
      <c r="K26" s="1">
        <v>9667</v>
      </c>
      <c r="L26" s="2">
        <v>22487.22999999999956</v>
      </c>
      <c r="M26" s="11">
        <f>IF(ISERROR(F26/N26),"-",F26/N26)</f>
        <v>42.33333333333334</v>
      </c>
      <c r="N26" s="1">
        <v>3</v>
      </c>
    </row>
    <row r="27" spans="1:15">
      <c r="A27" s="3" t="s">
        <v>19</v>
      </c>
      <c r="B27" s="23">
        <v>43855.0</v>
      </c>
      <c r="C27" s="19">
        <v>17388.68999999999869</v>
      </c>
      <c r="D27" s="11">
        <f>IF(ISERROR(C27/E27),"-",C27/E27)</f>
        <v>318.76608615948669</v>
      </c>
      <c r="E27" s="19">
        <v>54.55</v>
      </c>
      <c r="F27" s="1">
        <v>161</v>
      </c>
      <c r="G27" s="1">
        <v>334</v>
      </c>
      <c r="H27" s="12">
        <f>IF(ISERROR(C27/F27),"-",C27/F27)</f>
        <v>108.0042857142857002</v>
      </c>
      <c r="I27" s="13">
        <f>IF(ISERROR(G27/F27),"-",G27/F27)</f>
        <v>2.074534161490683</v>
      </c>
      <c r="J27" s="13">
        <f>IF(ISERROR(H27/E27),"-",H27/E27)</f>
        <v>1.97991357863035</v>
      </c>
      <c r="K27" s="1">
        <v>9666</v>
      </c>
      <c r="L27" s="2">
        <v>22846.86000000000058</v>
      </c>
      <c r="M27" s="11">
        <f>IF(ISERROR(F27/N27),"-",F27/N27)</f>
        <v>53.66666666666666</v>
      </c>
      <c r="N27" s="1">
        <v>3</v>
      </c>
    </row>
    <row r="28" spans="1:15">
      <c r="A28" s="1" t="s">
        <v>20</v>
      </c>
      <c r="B28" s="23">
        <v>43856.0</v>
      </c>
      <c r="C28" s="19">
        <v>17450.79000000000087</v>
      </c>
      <c r="D28" s="11">
        <f>IF(ISERROR(C28/E28),"-",C28/E28)</f>
        <v>317.86502732240439</v>
      </c>
      <c r="E28" s="19">
        <v>54.9</v>
      </c>
      <c r="F28" s="1">
        <v>155</v>
      </c>
      <c r="G28" s="1">
        <v>264</v>
      </c>
      <c r="H28" s="12">
        <f>IF(ISERROR(C28/F28),"-",C28/F28)</f>
        <v>112.58574193548388</v>
      </c>
      <c r="I28" s="13">
        <f>IF(ISERROR(G28/F28),"-",G28/F28)</f>
        <v>1.70322580645161</v>
      </c>
      <c r="J28" s="13">
        <f>IF(ISERROR(H28/E28),"-",H28/E28)</f>
        <v>2.050742111757448</v>
      </c>
      <c r="K28" s="1">
        <v>9764</v>
      </c>
      <c r="L28" s="2">
        <v>22936.0099999999983993</v>
      </c>
      <c r="M28" s="11">
        <f>IF(ISERROR(F28/N28),"-",F28/N28)</f>
        <v>51.66666666666666</v>
      </c>
      <c r="N28" s="1">
        <v>3</v>
      </c>
    </row>
    <row r="29" spans="1:15">
      <c r="A29" s="1" t="s">
        <v>21</v>
      </c>
      <c r="B29" s="23">
        <v>43857.0</v>
      </c>
      <c r="C29" s="19">
        <v>13236.11000000000058</v>
      </c>
      <c r="D29" s="11">
        <f>IF(ISERROR(C29/E29),"-",C29/E29)</f>
        <v>239.56760180995477</v>
      </c>
      <c r="E29" s="19">
        <v>55.25</v>
      </c>
      <c r="F29" s="1">
        <v>126</v>
      </c>
      <c r="G29" s="1">
        <v>238</v>
      </c>
      <c r="H29" s="12">
        <f>IF(ISERROR(C29/F29),"-",C29/F29)</f>
        <v>105.048492063492063</v>
      </c>
      <c r="I29" s="13">
        <f>IF(ISERROR(G29/F29),"-",G29/F29)</f>
        <v>1.88888888888889</v>
      </c>
      <c r="J29" s="13">
        <f>IF(ISERROR(H29/E29),"-",H29/E29)</f>
        <v>1.90133017309488</v>
      </c>
      <c r="K29" s="1">
        <v>10098</v>
      </c>
      <c r="L29" s="2">
        <v>23791</v>
      </c>
      <c r="M29" s="11">
        <f>IF(ISERROR(F29/N29),"-",F29/N29)</f>
        <v>42</v>
      </c>
      <c r="N29" s="1">
        <v>3</v>
      </c>
    </row>
    <row r="30" spans="1:15">
      <c r="A30" s="3" t="s">
        <v>16</v>
      </c>
      <c r="B30" s="23">
        <v>43858.0</v>
      </c>
      <c r="C30" s="19">
        <v>10568.36000000000058</v>
      </c>
      <c r="D30" s="11">
        <f>IF(ISERROR(C30/E30),"-",C30/E30)</f>
        <v>190.078417266187046</v>
      </c>
      <c r="E30" s="19">
        <v>55.6</v>
      </c>
      <c r="F30" s="1">
        <v>106</v>
      </c>
      <c r="G30" s="1">
        <v>191</v>
      </c>
      <c r="H30" s="12">
        <f>IF(ISERROR(C30/F30),"-",C30/F30)</f>
        <v>99.70150943396227</v>
      </c>
      <c r="I30" s="13">
        <f>IF(ISERROR(G30/F30),"-",G30/F30)</f>
        <v>1.80188679245283</v>
      </c>
      <c r="J30" s="13">
        <f>IF(ISERROR(H30/E30),"-",H30/E30)</f>
        <v>1.79319261571875</v>
      </c>
      <c r="L30" s="2"/>
      <c r="M30" s="11">
        <f>IF(ISERROR(F30/N30),"-",F30/N30)</f>
        <v>35.33333333333334</v>
      </c>
      <c r="N30" s="1">
        <v>3</v>
      </c>
    </row>
    <row r="31" spans="1:15">
      <c r="A31" s="3" t="s">
        <v>16</v>
      </c>
      <c r="B31" s="23">
        <v>43859.0</v>
      </c>
      <c r="C31" s="19">
        <v>12905.77000000000044</v>
      </c>
      <c r="D31" s="11">
        <f>IF(ISERROR(C31/E31),"-",C31/E31)</f>
        <v>230.66613047363717</v>
      </c>
      <c r="E31" s="19">
        <v>55.95</v>
      </c>
      <c r="F31" s="1">
        <v>121</v>
      </c>
      <c r="G31" s="1">
        <v>226</v>
      </c>
      <c r="H31" s="12">
        <f>IF(ISERROR(C31/F31),"-",C31/F31)</f>
        <v>106.65925619834711</v>
      </c>
      <c r="I31" s="13">
        <f>IF(ISERROR(G31/F31),"-",G31/F31)</f>
        <v>1.86776859504132</v>
      </c>
      <c r="J31" s="13">
        <f>IF(ISERROR(H31/E31),"-",H31/E31)</f>
        <v>1.90633165680692</v>
      </c>
      <c r="K31" s="1">
        <v>9788</v>
      </c>
      <c r="L31" s="2">
        <v>23130</v>
      </c>
      <c r="M31" s="11">
        <f>IF(ISERROR(F31/N31),"-",F31/N31)</f>
        <v>40.33333333333334</v>
      </c>
      <c r="N31" s="1">
        <v>3</v>
      </c>
    </row>
    <row r="32" spans="1:15">
      <c r="A32" s="3" t="s">
        <v>17</v>
      </c>
      <c r="B32" s="23">
        <v>43860.0</v>
      </c>
      <c r="C32" s="19">
        <v>12420.25</v>
      </c>
      <c r="D32" s="11">
        <f>IF(ISERROR(C32/E32),"-",C32/E32)</f>
        <v>220.60834813499113</v>
      </c>
      <c r="E32" s="19">
        <v>56.3</v>
      </c>
      <c r="F32" s="1">
        <v>118</v>
      </c>
      <c r="G32" s="1">
        <v>218</v>
      </c>
      <c r="H32" s="12">
        <f>IF(ISERROR(C32/F32),"-",C32/F32)</f>
        <v>105.25635593220339</v>
      </c>
      <c r="I32" s="13">
        <f>IF(ISERROR(G32/F32),"-",G32/F32)</f>
        <v>1.84745762711864</v>
      </c>
      <c r="J32" s="13">
        <f>IF(ISERROR(H32/E32),"-",H32/E32)</f>
        <v>1.86956227233043</v>
      </c>
      <c r="K32" s="1">
        <v>9609</v>
      </c>
      <c r="L32" s="2">
        <v>22991.70000000000073</v>
      </c>
      <c r="M32" s="11">
        <f>IF(ISERROR(F32/N32),"-",F32/N32)</f>
        <v>39.33333333333334</v>
      </c>
      <c r="N32" s="1">
        <v>3</v>
      </c>
    </row>
    <row r="33" spans="1:15">
      <c r="A33" s="3" t="s">
        <v>18</v>
      </c>
      <c r="B33" s="23">
        <v>43861.0</v>
      </c>
      <c r="C33" s="19">
        <v>14113.73999999999978</v>
      </c>
      <c r="D33" s="11">
        <f>IF(ISERROR(C33/E33),"-",C33/E33)</f>
        <v>249.13927625772286</v>
      </c>
      <c r="E33" s="19">
        <v>56.65</v>
      </c>
      <c r="F33" s="1">
        <v>146</v>
      </c>
      <c r="G33" s="1">
        <v>322</v>
      </c>
      <c r="H33" s="12">
        <f>IF(ISERROR(C33/F33),"-",C33/F33)</f>
        <v>96.66945205479452</v>
      </c>
      <c r="I33" s="13">
        <f>IF(ISERROR(G33/F33),"-",G33/F33)</f>
        <v>2.20547945205479</v>
      </c>
      <c r="J33" s="13">
        <f>IF(ISERROR(H33/E33),"-",H33/E33)</f>
        <v>1.7064333990255</v>
      </c>
      <c r="K33" s="1">
        <v>9831</v>
      </c>
      <c r="L33" s="2">
        <v>23545.31000000000131</v>
      </c>
      <c r="M33" s="11">
        <f>IF(ISERROR(F33/N33),"-",F33/N33)</f>
        <v>48.66666666666666</v>
      </c>
      <c r="N33" s="1">
        <v>3</v>
      </c>
    </row>
    <row r="34" spans="1:15">
      <c r="A34" s="3"/>
      <c r="B34" s="26"/>
      <c r="C34" s="27">
        <f>SUM(C4:C33)</f>
        <v>361532.46999999997206</v>
      </c>
      <c r="D34" s="27">
        <f>SUM(D4:D33)</f>
        <v>7004.75557641197702</v>
      </c>
      <c r="E34" s="27">
        <f>AVERAGE(E4:E33)</f>
        <v>51.575</v>
      </c>
      <c r="F34" s="26">
        <f>SUM(F4:F33)</f>
        <v>3853</v>
      </c>
      <c r="G34" s="26">
        <f>SUM(G4:G33)</f>
        <v>7543</v>
      </c>
      <c r="H34" s="28">
        <f>AVERAGE(H4:H33)</f>
        <v>94.15591214626033</v>
      </c>
      <c r="I34" s="29">
        <f>AVERAGE(I4:I33)</f>
        <v>1.96447246002707</v>
      </c>
      <c r="J34" s="30">
        <f>AVERAGE(J4:J33)</f>
        <v>1.82548244288959</v>
      </c>
      <c r="K34" s="31">
        <f>AVERAGE(K4:K33)</f>
        <v>9737.79999999999927</v>
      </c>
      <c r="L34" s="32">
        <f>AVERAGE(L4:L33)</f>
        <v>22716.43823999999586</v>
      </c>
      <c r="M34" s="33">
        <f>AVERAGE(M4:M33)</f>
        <v>41.64444444444444</v>
      </c>
      <c r="N34" s="33">
        <f>AVERAGE(N4:N33)</f>
        <v>3.1</v>
      </c>
    </row>
    <row r="40" spans="1:15" customHeight="1" ht="6"/>
    <row r="41" spans="1:15" customHeight="1" ht="26.25">
      <c r="A41" s="18" t="s">
        <v>2</v>
      </c>
      <c r="B41" s="17" t="s">
        <v>22</v>
      </c>
      <c r="C41" s="17" t="s">
        <v>23</v>
      </c>
      <c r="D41" s="17" t="s">
        <v>24</v>
      </c>
      <c r="E41" s="17" t="s">
        <v>25</v>
      </c>
      <c r="F41" s="17" t="s">
        <v>26</v>
      </c>
      <c r="G41" s="17" t="s">
        <v>27</v>
      </c>
      <c r="H41" s="17" t="s">
        <v>28</v>
      </c>
      <c r="I41" s="17" t="s">
        <v>29</v>
      </c>
      <c r="J41" s="17" t="s">
        <v>30</v>
      </c>
      <c r="K41" s="17" t="s">
        <v>31</v>
      </c>
      <c r="L41" s="17" t="s">
        <v>32</v>
      </c>
      <c r="M41" s="17" t="s">
        <v>33</v>
      </c>
      <c r="N41" s="17" t="s">
        <v>34</v>
      </c>
    </row>
    <row r="42" spans="1:15" customHeight="1" ht="23.25">
      <c r="A42" s="18">
        <v>1</v>
      </c>
      <c r="B42" s="15" t="s">
        <v>35</v>
      </c>
      <c r="C42" s="20"/>
      <c r="D42" s="2"/>
      <c r="E42" s="2"/>
      <c r="H42" s="2"/>
      <c r="I42" s="4"/>
      <c r="J42" s="4"/>
      <c r="N42" s="8"/>
    </row>
    <row r="43" spans="1:15" customHeight="1" ht="23.25">
      <c r="A43" s="18">
        <v>2</v>
      </c>
      <c r="B43" s="15" t="s">
        <v>5</v>
      </c>
      <c r="C43" s="20"/>
      <c r="J43" s="19"/>
      <c r="N43" s="8"/>
    </row>
    <row r="44" spans="1:15" customHeight="1" ht="23.25">
      <c r="A44" s="18">
        <v>3</v>
      </c>
      <c r="B44" s="15" t="s">
        <v>36</v>
      </c>
      <c r="C44" s="21"/>
      <c r="J44" s="19"/>
      <c r="N44" s="8"/>
    </row>
    <row r="45" spans="1:15" customHeight="1" ht="23.25">
      <c r="A45" s="18">
        <v>4</v>
      </c>
      <c r="B45" s="15" t="s">
        <v>37</v>
      </c>
      <c r="N45" s="8"/>
    </row>
    <row r="46" spans="1:15" customHeight="1" ht="23.25">
      <c r="A46" s="18">
        <v>5</v>
      </c>
      <c r="B46" s="15" t="s">
        <v>8</v>
      </c>
      <c r="N46" s="8"/>
    </row>
    <row r="47" spans="1:15" customHeight="1" ht="23.25">
      <c r="A47" s="18">
        <v>6</v>
      </c>
      <c r="B47" s="15" t="s">
        <v>38</v>
      </c>
      <c r="J47" s="2"/>
      <c r="N47" s="8"/>
    </row>
    <row r="48" spans="1:15" customHeight="1" ht="23.25">
      <c r="A48" s="18">
        <v>7</v>
      </c>
      <c r="B48" s="15" t="s">
        <v>39</v>
      </c>
      <c r="J48" s="4"/>
      <c r="N48" s="8"/>
    </row>
    <row r="49" spans="1:15" customHeight="1" ht="23.25">
      <c r="A49" s="18">
        <v>8</v>
      </c>
      <c r="B49" s="15" t="s">
        <v>11</v>
      </c>
      <c r="J49" s="4"/>
      <c r="N49" s="8"/>
    </row>
    <row r="50" spans="1:15">
      <c r="A50" s="18">
        <v>9</v>
      </c>
      <c r="B50" s="15" t="s">
        <v>40</v>
      </c>
      <c r="C50" s="2"/>
      <c r="D50" s="2"/>
      <c r="E50" s="2"/>
      <c r="H50" s="2"/>
      <c r="I50" s="4"/>
      <c r="J50" s="4"/>
      <c r="N50" s="8"/>
    </row>
    <row r="51" spans="1:15">
      <c r="A51" s="18">
        <v>10</v>
      </c>
      <c r="B51" s="15" t="s">
        <v>41</v>
      </c>
      <c r="C51" s="14"/>
      <c r="E51" s="2"/>
      <c r="N51" s="8"/>
    </row>
    <row r="52" spans="1:15">
      <c r="A52" s="18">
        <v>11</v>
      </c>
      <c r="B52" s="15" t="s">
        <v>42</v>
      </c>
      <c r="N52" s="8"/>
    </row>
    <row r="53" spans="1:15" customHeight="1" ht="15.75">
      <c r="A53" s="18">
        <v>12</v>
      </c>
      <c r="B53" s="16" t="s">
        <v>15</v>
      </c>
      <c r="C53" s="5"/>
      <c r="D53" s="5"/>
      <c r="E53" s="5"/>
      <c r="F53" s="5"/>
      <c r="G53" s="5"/>
      <c r="H53" s="5"/>
      <c r="I53" s="5"/>
      <c r="J53" s="25"/>
      <c r="K53" s="5"/>
      <c r="L53" s="5"/>
      <c r="M53" s="5"/>
      <c r="N53" s="9"/>
    </row>
    <row r="56" spans="1:15">
      <c r="H56" s="14"/>
    </row>
    <row r="59" spans="1:15">
      <c r="C59" s="1">
        <f>14.47+15.8+51.2</f>
        <v>81.47</v>
      </c>
    </row>
  </sheetData>
  <autoFilter ref="A3:N34"/>
  <printOptions gridLines="false" gridLinesSet="true"/>
  <pageMargins left="0.70866141732283" right="0.70866141732283" top="0.74803149606299" bottom="0.74803149606299" header="0.31496062992126" footer="0.31496062992126"/>
  <pageSetup paperSize="9" orientation="landscape" scale="6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zoomScale="90" zoomScaleNormal="90" showGridLines="false" showRowColHeaders="1">
      <selection activeCell="L33" sqref="L33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6"/>
  <sheetViews>
    <sheetView tabSelected="0" workbookViewId="0" zoomScale="90" zoomScaleNormal="90" showGridLines="false" showRowColHeaders="1">
      <selection activeCell="G42" sqref="G42"/>
    </sheetView>
  </sheetViews>
  <sheetFormatPr defaultRowHeight="14.4" outlineLevelRow="0" outlineLevelCol="0"/>
  <sheetData>
    <row r="32" spans="1:17">
      <c r="Q32" s="24" t="s">
        <v>43</v>
      </c>
    </row>
    <row r="33" spans="1:17">
      <c r="Q33" s="24"/>
    </row>
    <row r="34" spans="1:17">
      <c r="Q34" s="24" t="s">
        <v>44</v>
      </c>
    </row>
    <row r="36" spans="1:17">
      <c r="Q36" s="24" t="s">
        <v>45</v>
      </c>
    </row>
  </sheetData>
  <hyperlinks>
    <hyperlink ref="Q32" r:id="rId_hyperlink_1" display="https://www.msn.com/es-ve/play/games/piece-of-cake/cg-9n5mln8fpwg8?cgfrom=cg_prong2_cardgameitem&amp;ocid=winp2fp"/>
    <hyperlink ref="Q33" r:id="rId_hyperlink_2" display="https://www.msn.com/es-ve/play/games/piece-of-cake/cg-9n5mln8fpwg8?cgfrom=cg_prong2_cardgameitem&amp;ocid=winp2fp"/>
    <hyperlink ref="Q34" r:id="rId_hyperlink_3" display="https://www.msn.com/es-ve/play/games/piece-of-cake/cg-9n5mln8fpwg8?cgfrom=cg_prong2_cardgameitem&amp;ocid=winp2fp"/>
    <hyperlink ref="Q36" r:id="rId_hyperlink_4" display="https://www.msn.com/es-ve/play/games/piece-of-cake/cg-9n5mln8fpwg8?cgfrom=cg_prong2_cardgameitem&amp;ocid=winp2fp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zoomScale="90" zoomScaleNormal="90" showGridLines="false" showRowColHeaders="1">
      <selection activeCell="C11" sqref="C1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zoomScale="90" zoomScaleNormal="90" showGridLines="false" showRowColHeaders="1">
      <selection activeCell="K42" sqref="K42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I30" sqref="I30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false" showRowColHeaders="1" topLeftCell="C1">
      <selection activeCell="J37" sqref="J37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false" showRowColHeaders="1">
      <selection activeCell="L21" sqref="L21:M2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Indicadores </vt:lpstr>
      <vt:lpstr>Ventas en Bs</vt:lpstr>
      <vt:lpstr>Venta en $</vt:lpstr>
      <vt:lpstr>TRN-Unidades</vt:lpstr>
      <vt:lpstr>Ticket Promedio en Bs</vt:lpstr>
      <vt:lpstr>PromUnd-TicketProm$</vt:lpstr>
      <vt:lpstr>TRNxJornadas</vt:lpstr>
      <vt:lpstr>Valuacion-Unidades Cargadas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 Roa</dc:creator>
  <cp:lastModifiedBy>usuario</cp:lastModifiedBy>
  <dcterms:created xsi:type="dcterms:W3CDTF">2021-01-16T01:48:28+00:00</dcterms:created>
  <dcterms:modified xsi:type="dcterms:W3CDTF">2025-10-03T18:16:52+00:00</dcterms:modified>
  <dc:title/>
  <dc:description/>
  <dc:subject/>
  <cp:keywords/>
  <cp:category/>
</cp:coreProperties>
</file>