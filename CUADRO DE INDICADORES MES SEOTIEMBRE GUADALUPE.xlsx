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\DESKTOP\guadalupe indicadores\09-SEPTIEMBRE\"/>
    </mc:Choice>
  </mc:AlternateContent>
  <xr:revisionPtr revIDLastSave="0" documentId="13_ncr:1_{191A6328-AA86-4E2E-ADA6-11718A13E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dores " sheetId="1" r:id="rId1"/>
    <sheet name="Ventas en Bs" sheetId="2" r:id="rId2"/>
    <sheet name="Venta en $" sheetId="3" r:id="rId3"/>
    <sheet name="TRN-Unidades" sheetId="4" r:id="rId4"/>
    <sheet name="Ticket Promedio en Bs" sheetId="5" r:id="rId5"/>
    <sheet name="PromUnd-TicketProm$" sheetId="6" r:id="rId6"/>
    <sheet name="TRNxJornadas" sheetId="7" r:id="rId7"/>
    <sheet name="Valuacion-Unidades Cargadas" sheetId="8" r:id="rId8"/>
  </sheets>
  <definedNames>
    <definedName name="_xlnm._FilterDatabase" localSheetId="0" hidden="1">'Indicadores '!$A$3:$N$34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C59" i="1"/>
  <c r="L34" i="1" l="1"/>
  <c r="E34" i="1"/>
  <c r="D4" i="1" l="1"/>
  <c r="D24" i="1"/>
  <c r="D25" i="1"/>
  <c r="D26" i="1"/>
  <c r="D27" i="1"/>
  <c r="D28" i="1"/>
  <c r="D29" i="1"/>
  <c r="D30" i="1"/>
  <c r="D31" i="1"/>
  <c r="D32" i="1"/>
  <c r="D33" i="1"/>
  <c r="H4" i="1"/>
  <c r="I4" i="1"/>
  <c r="K34" i="1" l="1"/>
  <c r="D5" i="1" l="1"/>
  <c r="D6" i="1"/>
  <c r="N34" i="1" l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4" i="1"/>
  <c r="M34" i="1" l="1"/>
  <c r="H5" i="1" l="1"/>
  <c r="J5" i="1" s="1"/>
  <c r="J4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2" i="1"/>
  <c r="D2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G34" i="1"/>
  <c r="F34" i="1"/>
  <c r="C34" i="1"/>
  <c r="D34" i="1" l="1"/>
  <c r="J34" i="1"/>
  <c r="I34" i="1"/>
  <c r="H34" i="1"/>
</calcChain>
</file>

<file path=xl/sharedStrings.xml><?xml version="1.0" encoding="utf-8"?>
<sst xmlns="http://schemas.openxmlformats.org/spreadsheetml/2006/main" count="75" uniqueCount="47">
  <si>
    <t>Fecha</t>
  </si>
  <si>
    <t>Unidades</t>
  </si>
  <si>
    <t xml:space="preserve">Venta BS </t>
  </si>
  <si>
    <t>Venta en $</t>
  </si>
  <si>
    <t>Tasa $</t>
  </si>
  <si>
    <t>Ticket Promedio</t>
  </si>
  <si>
    <t>Unidades Promedio x Compra</t>
  </si>
  <si>
    <t>#</t>
  </si>
  <si>
    <t>Unidades Promedio
 x Compra</t>
  </si>
  <si>
    <t>Enero</t>
  </si>
  <si>
    <t xml:space="preserve">Mes </t>
  </si>
  <si>
    <t>Venta en Bs</t>
  </si>
  <si>
    <t>Promedio Tasa $</t>
  </si>
  <si>
    <t>Transacciones</t>
  </si>
  <si>
    <t>Ticket Promedio en $</t>
  </si>
  <si>
    <t>Ticket Promedio en Bs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</si>
  <si>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</si>
  <si>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</si>
  <si>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</si>
  <si>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</si>
  <si>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</si>
  <si>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</si>
  <si>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</si>
  <si>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</si>
  <si>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Febrero</t>
  </si>
  <si>
    <t>Marzo</t>
  </si>
  <si>
    <t xml:space="preserve">Octubre </t>
  </si>
  <si>
    <t>TRN</t>
  </si>
  <si>
    <t>V</t>
  </si>
  <si>
    <t>S</t>
  </si>
  <si>
    <t>D</t>
  </si>
  <si>
    <t>L</t>
  </si>
  <si>
    <t>M</t>
  </si>
  <si>
    <t>J</t>
  </si>
  <si>
    <t>Valuacion de Inventario</t>
  </si>
  <si>
    <t>unidades</t>
  </si>
  <si>
    <t>Transacciones/ Jornadas</t>
  </si>
  <si>
    <t>Jornada</t>
  </si>
  <si>
    <t>transaccionesxjornada</t>
  </si>
  <si>
    <t>Valuacion de Inventario costo</t>
  </si>
  <si>
    <t>Unidades Cargadas (inventario)</t>
  </si>
  <si>
    <t>FARMACIA GUADALUPE, C.A.</t>
  </si>
  <si>
    <t>Jugar</t>
  </si>
  <si>
    <t>Piece of Cake</t>
  </si>
  <si>
    <t>¡Te espera una reproducción rápida del juego y una gran diversión!</t>
  </si>
  <si>
    <t>v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</si>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</sst>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0.0"/>
    <numFmt numFmtId="166" formatCode="0.000"/>
    <numFmt numFmtId="167" formatCode="#,##0.000"/>
    <numFmt numFmtId="168" formatCode="[$-1540A]m/d/yyyy;@"/>
  </numFmts>
  <fonts count="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8" fillId="0" borderId="0" xfId="2"/>
    <xf numFmtId="1" fontId="0" fillId="0" borderId="1" xfId="0" applyNumberFormat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4" fontId="0" fillId="5" borderId="4" xfId="0" applyNumberFormat="1" applyFill="1" applyBorder="1" applyAlignment="1">
      <alignment horizontal="center" vertical="center"/>
    </xf>
    <xf numFmtId="3" fontId="0" fillId="5" borderId="4" xfId="0" applyNumberFormat="1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4" fontId="0" fillId="0" borderId="4" xfId="1" applyFont="1" applyBorder="1" applyAlignment="1">
      <alignment vertical="center"/>
    </xf>
    <xf numFmtId="1" fontId="0" fillId="0" borderId="4" xfId="0" applyNumberForma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1FF74"/>
      <color rgb="FFC828C0"/>
      <color rgb="FF5057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Venta en 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'!$A$3</c:f>
              <c:strCache>
                <c:ptCount val="1"/>
                <c:pt idx="0">
                  <c:v>#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'Indicadores '!$A$4:$A$33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0-4A6F-8699-2A4F423B456E}"/>
            </c:ext>
          </c:extLst>
        </c:ser>
        <c:ser>
          <c:idx val="2"/>
          <c:order val="1"/>
          <c:tx>
            <c:strRef>
              <c:f>'Indicadores '!$C$3</c:f>
              <c:strCache>
                <c:ptCount val="1"/>
                <c:pt idx="0">
                  <c:v>Venta BS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4925">
              <a:solidFill>
                <a:srgbClr val="5057DE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828C0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'Indicadores '!$C$4:$C$33</c:f>
              <c:numCache>
                <c:formatCode>#,##0.00</c:formatCode>
                <c:ptCount val="30"/>
                <c:pt idx="0">
                  <c:v>91154.02</c:v>
                </c:pt>
                <c:pt idx="1">
                  <c:v>97779.71</c:v>
                </c:pt>
                <c:pt idx="2">
                  <c:v>102970.43</c:v>
                </c:pt>
                <c:pt idx="3">
                  <c:v>88017.34</c:v>
                </c:pt>
                <c:pt idx="4">
                  <c:v>80420.47</c:v>
                </c:pt>
                <c:pt idx="5">
                  <c:v>95981.7</c:v>
                </c:pt>
                <c:pt idx="6">
                  <c:v>109025.52</c:v>
                </c:pt>
                <c:pt idx="7">
                  <c:v>84722.76</c:v>
                </c:pt>
                <c:pt idx="8">
                  <c:v>101300.35</c:v>
                </c:pt>
                <c:pt idx="9">
                  <c:v>116407.39</c:v>
                </c:pt>
                <c:pt idx="10">
                  <c:v>77039.25</c:v>
                </c:pt>
                <c:pt idx="11">
                  <c:v>88858.98</c:v>
                </c:pt>
                <c:pt idx="12">
                  <c:v>92708.68</c:v>
                </c:pt>
                <c:pt idx="13">
                  <c:v>110970.24000000001</c:v>
                </c:pt>
                <c:pt idx="14">
                  <c:v>86873.43</c:v>
                </c:pt>
                <c:pt idx="15">
                  <c:v>28594.37</c:v>
                </c:pt>
                <c:pt idx="16">
                  <c:v>112854.65</c:v>
                </c:pt>
                <c:pt idx="17">
                  <c:v>117239.45</c:v>
                </c:pt>
                <c:pt idx="18">
                  <c:v>105269.81</c:v>
                </c:pt>
                <c:pt idx="19">
                  <c:v>88959.53</c:v>
                </c:pt>
                <c:pt idx="20">
                  <c:v>102839.62</c:v>
                </c:pt>
                <c:pt idx="21">
                  <c:v>105406.76</c:v>
                </c:pt>
                <c:pt idx="22">
                  <c:v>110012.02</c:v>
                </c:pt>
                <c:pt idx="23">
                  <c:v>144905.79</c:v>
                </c:pt>
                <c:pt idx="24">
                  <c:v>145423.22</c:v>
                </c:pt>
                <c:pt idx="25">
                  <c:v>110300.94</c:v>
                </c:pt>
                <c:pt idx="26">
                  <c:v>88069.67</c:v>
                </c:pt>
                <c:pt idx="27">
                  <c:v>107548.12</c:v>
                </c:pt>
                <c:pt idx="28">
                  <c:v>103502.12</c:v>
                </c:pt>
                <c:pt idx="29">
                  <c:v>117614.52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0-4A6F-8699-2A4F423B4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151520"/>
        <c:axId val="187152592"/>
      </c:barChart>
      <c:catAx>
        <c:axId val="18715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87152592"/>
        <c:crosses val="autoZero"/>
        <c:auto val="1"/>
        <c:lblAlgn val="ctr"/>
        <c:lblOffset val="100"/>
        <c:noMultiLvlLbl val="0"/>
      </c:catAx>
      <c:valAx>
        <c:axId val="1871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8715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'!$D$3</c:f>
              <c:strCache>
                <c:ptCount val="1"/>
                <c:pt idx="0">
                  <c:v>Venta en $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C828C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rgbClr val="01FF74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'Indicadores '!$D$4:$D$33</c:f>
              <c:numCache>
                <c:formatCode>0</c:formatCode>
                <c:ptCount val="30"/>
                <c:pt idx="0">
                  <c:v>614.07989760172461</c:v>
                </c:pt>
                <c:pt idx="1">
                  <c:v>654.21992506356219</c:v>
                </c:pt>
                <c:pt idx="2">
                  <c:v>682.87306850586913</c:v>
                </c:pt>
                <c:pt idx="3">
                  <c:v>579.977200843437</c:v>
                </c:pt>
                <c:pt idx="4">
                  <c:v>526.24309645334381</c:v>
                </c:pt>
                <c:pt idx="5">
                  <c:v>628.07027875932465</c:v>
                </c:pt>
                <c:pt idx="6">
                  <c:v>713.42442088731843</c:v>
                </c:pt>
                <c:pt idx="7">
                  <c:v>550.11207064476332</c:v>
                </c:pt>
                <c:pt idx="8">
                  <c:v>653.63498515937545</c:v>
                </c:pt>
                <c:pt idx="9">
                  <c:v>744.43556948263733</c:v>
                </c:pt>
                <c:pt idx="10">
                  <c:v>488.45580776058841</c:v>
                </c:pt>
                <c:pt idx="11">
                  <c:v>559.14283916435943</c:v>
                </c:pt>
                <c:pt idx="12">
                  <c:v>583.36697709539396</c:v>
                </c:pt>
                <c:pt idx="13">
                  <c:v>698.27737226277384</c:v>
                </c:pt>
                <c:pt idx="14">
                  <c:v>546.64881701485024</c:v>
                </c:pt>
                <c:pt idx="15">
                  <c:v>178.22469458987783</c:v>
                </c:pt>
                <c:pt idx="16">
                  <c:v>699.05011149653114</c:v>
                </c:pt>
                <c:pt idx="17">
                  <c:v>716.44738450256671</c:v>
                </c:pt>
                <c:pt idx="18">
                  <c:v>636.45592503022976</c:v>
                </c:pt>
                <c:pt idx="19">
                  <c:v>537.84480048367595</c:v>
                </c:pt>
                <c:pt idx="20">
                  <c:v>621.76311970979441</c:v>
                </c:pt>
                <c:pt idx="21">
                  <c:v>632.7696001920998</c:v>
                </c:pt>
                <c:pt idx="22">
                  <c:v>652.96783000949677</c:v>
                </c:pt>
                <c:pt idx="23">
                  <c:v>853.54179183601343</c:v>
                </c:pt>
                <c:pt idx="24">
                  <c:v>846.2710661080074</c:v>
                </c:pt>
                <c:pt idx="25">
                  <c:v>634.89863581419445</c:v>
                </c:pt>
                <c:pt idx="26">
                  <c:v>506.93415069360503</c:v>
                </c:pt>
                <c:pt idx="27">
                  <c:v>619.05324353882463</c:v>
                </c:pt>
                <c:pt idx="28">
                  <c:v>589.28558414939653</c:v>
                </c:pt>
                <c:pt idx="29">
                  <c:v>662.20663250943073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A-4080-81FB-A313EEA6C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496536"/>
        <c:axId val="228644216"/>
      </c:barChart>
      <c:catAx>
        <c:axId val="228496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8644216"/>
        <c:crosses val="autoZero"/>
        <c:auto val="1"/>
        <c:lblAlgn val="ctr"/>
        <c:lblOffset val="100"/>
        <c:noMultiLvlLbl val="0"/>
      </c:catAx>
      <c:valAx>
        <c:axId val="22864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849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TRN-UNIDADES</a:t>
            </a:r>
          </a:p>
        </c:rich>
      </c:tx>
      <c:layout>
        <c:manualLayout>
          <c:xMode val="edge"/>
          <c:yMode val="edge"/>
          <c:x val="0.34201275868205339"/>
          <c:y val="3.1821797931583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2.9148542685495334E-2"/>
          <c:y val="8.2736674622116146E-2"/>
          <c:w val="0.9596126313784159"/>
          <c:h val="0.77064952799754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'Indicadores '!$F$3</c:f>
              <c:strCache>
                <c:ptCount val="1"/>
                <c:pt idx="0">
                  <c:v>TRN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'!$F$4:$F$33</c:f>
              <c:numCache>
                <c:formatCode>General</c:formatCode>
                <c:ptCount val="30"/>
                <c:pt idx="0">
                  <c:v>119</c:v>
                </c:pt>
                <c:pt idx="1">
                  <c:v>138</c:v>
                </c:pt>
                <c:pt idx="2">
                  <c:v>132</c:v>
                </c:pt>
                <c:pt idx="3">
                  <c:v>121</c:v>
                </c:pt>
                <c:pt idx="4">
                  <c:v>119</c:v>
                </c:pt>
                <c:pt idx="5">
                  <c:v>124</c:v>
                </c:pt>
                <c:pt idx="6">
                  <c:v>163</c:v>
                </c:pt>
                <c:pt idx="7">
                  <c:v>117</c:v>
                </c:pt>
                <c:pt idx="8">
                  <c:v>138</c:v>
                </c:pt>
                <c:pt idx="9">
                  <c:v>129</c:v>
                </c:pt>
                <c:pt idx="10">
                  <c:v>117</c:v>
                </c:pt>
                <c:pt idx="11">
                  <c:v>125</c:v>
                </c:pt>
                <c:pt idx="12">
                  <c:v>120</c:v>
                </c:pt>
                <c:pt idx="13">
                  <c:v>145</c:v>
                </c:pt>
                <c:pt idx="14">
                  <c:v>130</c:v>
                </c:pt>
                <c:pt idx="15">
                  <c:v>32</c:v>
                </c:pt>
                <c:pt idx="16">
                  <c:v>163</c:v>
                </c:pt>
                <c:pt idx="17">
                  <c:v>137</c:v>
                </c:pt>
                <c:pt idx="18">
                  <c:v>126</c:v>
                </c:pt>
                <c:pt idx="19">
                  <c:v>126</c:v>
                </c:pt>
                <c:pt idx="20">
                  <c:v>127</c:v>
                </c:pt>
                <c:pt idx="21">
                  <c:v>145</c:v>
                </c:pt>
                <c:pt idx="22">
                  <c:v>127</c:v>
                </c:pt>
                <c:pt idx="23">
                  <c:v>161</c:v>
                </c:pt>
                <c:pt idx="24">
                  <c:v>155</c:v>
                </c:pt>
                <c:pt idx="25">
                  <c:v>126</c:v>
                </c:pt>
                <c:pt idx="26">
                  <c:v>106</c:v>
                </c:pt>
                <c:pt idx="27">
                  <c:v>121</c:v>
                </c:pt>
                <c:pt idx="28">
                  <c:v>118</c:v>
                </c:pt>
                <c:pt idx="2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4-4D6B-BD54-6626F0249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87776"/>
        <c:axId val="228790144"/>
      </c:barChart>
      <c:lineChart>
        <c:grouping val="standard"/>
        <c:varyColors val="0"/>
        <c:ser>
          <c:idx val="1"/>
          <c:order val="1"/>
          <c:tx>
            <c:strRef>
              <c:f>'Indicadores '!$G$3</c:f>
              <c:strCache>
                <c:ptCount val="1"/>
                <c:pt idx="0">
                  <c:v>Unidades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'!$G$4:$G$33</c:f>
              <c:numCache>
                <c:formatCode>General</c:formatCode>
                <c:ptCount val="30"/>
                <c:pt idx="0">
                  <c:v>300</c:v>
                </c:pt>
                <c:pt idx="1">
                  <c:v>257</c:v>
                </c:pt>
                <c:pt idx="2">
                  <c:v>303</c:v>
                </c:pt>
                <c:pt idx="3">
                  <c:v>225</c:v>
                </c:pt>
                <c:pt idx="4">
                  <c:v>244</c:v>
                </c:pt>
                <c:pt idx="5">
                  <c:v>261</c:v>
                </c:pt>
                <c:pt idx="6">
                  <c:v>339</c:v>
                </c:pt>
                <c:pt idx="7">
                  <c:v>234</c:v>
                </c:pt>
                <c:pt idx="8">
                  <c:v>295</c:v>
                </c:pt>
                <c:pt idx="9">
                  <c:v>251</c:v>
                </c:pt>
                <c:pt idx="10">
                  <c:v>234</c:v>
                </c:pt>
                <c:pt idx="11">
                  <c:v>242</c:v>
                </c:pt>
                <c:pt idx="12">
                  <c:v>233</c:v>
                </c:pt>
                <c:pt idx="13">
                  <c:v>260</c:v>
                </c:pt>
                <c:pt idx="14">
                  <c:v>237</c:v>
                </c:pt>
                <c:pt idx="15">
                  <c:v>71</c:v>
                </c:pt>
                <c:pt idx="16">
                  <c:v>308</c:v>
                </c:pt>
                <c:pt idx="17">
                  <c:v>234</c:v>
                </c:pt>
                <c:pt idx="18">
                  <c:v>217</c:v>
                </c:pt>
                <c:pt idx="19">
                  <c:v>242</c:v>
                </c:pt>
                <c:pt idx="20">
                  <c:v>235</c:v>
                </c:pt>
                <c:pt idx="21">
                  <c:v>279</c:v>
                </c:pt>
                <c:pt idx="22">
                  <c:v>249</c:v>
                </c:pt>
                <c:pt idx="23">
                  <c:v>334</c:v>
                </c:pt>
                <c:pt idx="24">
                  <c:v>264</c:v>
                </c:pt>
                <c:pt idx="25">
                  <c:v>238</c:v>
                </c:pt>
                <c:pt idx="26">
                  <c:v>191</c:v>
                </c:pt>
                <c:pt idx="27">
                  <c:v>226</c:v>
                </c:pt>
                <c:pt idx="28">
                  <c:v>218</c:v>
                </c:pt>
                <c:pt idx="2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4-4D6B-BD54-6626F0249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87776"/>
        <c:axId val="228790144"/>
      </c:lineChart>
      <c:catAx>
        <c:axId val="22938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8790144"/>
        <c:crosses val="autoZero"/>
        <c:auto val="1"/>
        <c:lblAlgn val="ctr"/>
        <c:lblOffset val="100"/>
        <c:noMultiLvlLbl val="0"/>
      </c:catAx>
      <c:valAx>
        <c:axId val="2287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93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Ticket Promedio 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'!$H$3</c:f>
              <c:strCache>
                <c:ptCount val="1"/>
                <c:pt idx="0">
                  <c:v>Ticket Promedio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'!$H$4:$H$33</c:f>
              <c:numCache>
                <c:formatCode>#,##0</c:formatCode>
                <c:ptCount val="30"/>
                <c:pt idx="0">
                  <c:v>766.00016806722692</c:v>
                </c:pt>
                <c:pt idx="1">
                  <c:v>708.54862318840583</c:v>
                </c:pt>
                <c:pt idx="2">
                  <c:v>780.07901515151514</c:v>
                </c:pt>
                <c:pt idx="3">
                  <c:v>727.41603305785122</c:v>
                </c:pt>
                <c:pt idx="4">
                  <c:v>675.80226890756308</c:v>
                </c:pt>
                <c:pt idx="5">
                  <c:v>774.04596774193544</c:v>
                </c:pt>
                <c:pt idx="6">
                  <c:v>668.86822085889571</c:v>
                </c:pt>
                <c:pt idx="7">
                  <c:v>724.12615384615378</c:v>
                </c:pt>
                <c:pt idx="8">
                  <c:v>734.0605072463768</c:v>
                </c:pt>
                <c:pt idx="9">
                  <c:v>902.38286821705424</c:v>
                </c:pt>
                <c:pt idx="10">
                  <c:v>658.45512820512818</c:v>
                </c:pt>
                <c:pt idx="11">
                  <c:v>710.87184000000002</c:v>
                </c:pt>
                <c:pt idx="12">
                  <c:v>772.57233333333329</c:v>
                </c:pt>
                <c:pt idx="13">
                  <c:v>765.31200000000001</c:v>
                </c:pt>
                <c:pt idx="14">
                  <c:v>668.25715384615376</c:v>
                </c:pt>
                <c:pt idx="15">
                  <c:v>893.57406249999997</c:v>
                </c:pt>
                <c:pt idx="16">
                  <c:v>692.35981595092017</c:v>
                </c:pt>
                <c:pt idx="17">
                  <c:v>855.76240875912401</c:v>
                </c:pt>
                <c:pt idx="18">
                  <c:v>835.47468253968248</c:v>
                </c:pt>
                <c:pt idx="19">
                  <c:v>706.02801587301587</c:v>
                </c:pt>
                <c:pt idx="20">
                  <c:v>809.76078740157482</c:v>
                </c:pt>
                <c:pt idx="21">
                  <c:v>726.94317241379304</c:v>
                </c:pt>
                <c:pt idx="22">
                  <c:v>866.2363779527559</c:v>
                </c:pt>
                <c:pt idx="23">
                  <c:v>900.0359627329193</c:v>
                </c:pt>
                <c:pt idx="24">
                  <c:v>938.21432258064522</c:v>
                </c:pt>
                <c:pt idx="25">
                  <c:v>875.40428571428572</c:v>
                </c:pt>
                <c:pt idx="26">
                  <c:v>830.8459433962264</c:v>
                </c:pt>
                <c:pt idx="27">
                  <c:v>888.82743801652884</c:v>
                </c:pt>
                <c:pt idx="28">
                  <c:v>877.13661016949152</c:v>
                </c:pt>
                <c:pt idx="29">
                  <c:v>805.57890410958908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7-436C-ABD2-59157A5F0628}"/>
            </c:ext>
          </c:extLst>
        </c:ser>
        <c:ser>
          <c:idx val="1"/>
          <c:order val="1"/>
          <c:tx>
            <c:strRef>
              <c:f>'Indicadores '!$I$3</c:f>
              <c:strCache>
                <c:ptCount val="1"/>
                <c:pt idx="0">
                  <c:v>Unidades Promedio
 x Compra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'Indicadores '!$I$4:$I$33</c:f>
              <c:numCache>
                <c:formatCode>0.0</c:formatCode>
                <c:ptCount val="30"/>
                <c:pt idx="0">
                  <c:v>2.5210084033613445</c:v>
                </c:pt>
                <c:pt idx="1">
                  <c:v>1.8623188405797102</c:v>
                </c:pt>
                <c:pt idx="2">
                  <c:v>2.2954545454545454</c:v>
                </c:pt>
                <c:pt idx="3">
                  <c:v>1.859504132231405</c:v>
                </c:pt>
                <c:pt idx="4">
                  <c:v>2.0504201680672267</c:v>
                </c:pt>
                <c:pt idx="5">
                  <c:v>2.1048387096774195</c:v>
                </c:pt>
                <c:pt idx="6">
                  <c:v>2.0797546012269938</c:v>
                </c:pt>
                <c:pt idx="7">
                  <c:v>2</c:v>
                </c:pt>
                <c:pt idx="8">
                  <c:v>2.13768115942029</c:v>
                </c:pt>
                <c:pt idx="9">
                  <c:v>1.945736434108527</c:v>
                </c:pt>
                <c:pt idx="10">
                  <c:v>2</c:v>
                </c:pt>
                <c:pt idx="11">
                  <c:v>1.9359999999999999</c:v>
                </c:pt>
                <c:pt idx="12">
                  <c:v>1.9416666666666667</c:v>
                </c:pt>
                <c:pt idx="13">
                  <c:v>1.7931034482758621</c:v>
                </c:pt>
                <c:pt idx="14">
                  <c:v>1.823076923076923</c:v>
                </c:pt>
                <c:pt idx="15">
                  <c:v>2.21875</c:v>
                </c:pt>
                <c:pt idx="16">
                  <c:v>1.8895705521472392</c:v>
                </c:pt>
                <c:pt idx="17">
                  <c:v>1.7080291970802919</c:v>
                </c:pt>
                <c:pt idx="18">
                  <c:v>1.7222222222222223</c:v>
                </c:pt>
                <c:pt idx="19">
                  <c:v>1.9206349206349207</c:v>
                </c:pt>
                <c:pt idx="20">
                  <c:v>1.8503937007874016</c:v>
                </c:pt>
                <c:pt idx="21">
                  <c:v>1.9241379310344828</c:v>
                </c:pt>
                <c:pt idx="22">
                  <c:v>1.9606299212598426</c:v>
                </c:pt>
                <c:pt idx="23">
                  <c:v>2.0745341614906834</c:v>
                </c:pt>
                <c:pt idx="24">
                  <c:v>1.7032258064516128</c:v>
                </c:pt>
                <c:pt idx="25">
                  <c:v>1.8888888888888888</c:v>
                </c:pt>
                <c:pt idx="26">
                  <c:v>1.8018867924528301</c:v>
                </c:pt>
                <c:pt idx="27">
                  <c:v>1.8677685950413223</c:v>
                </c:pt>
                <c:pt idx="28">
                  <c:v>1.847457627118644</c:v>
                </c:pt>
                <c:pt idx="29">
                  <c:v>2.2054794520547945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7-436C-ABD2-59157A5F0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131280"/>
        <c:axId val="228776736"/>
      </c:barChart>
      <c:catAx>
        <c:axId val="22913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8776736"/>
        <c:crosses val="autoZero"/>
        <c:auto val="1"/>
        <c:lblAlgn val="ctr"/>
        <c:lblOffset val="100"/>
        <c:noMultiLvlLbl val="0"/>
      </c:catAx>
      <c:valAx>
        <c:axId val="2287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913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UnidProm/TicketProm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'!$I$3</c:f>
              <c:strCache>
                <c:ptCount val="1"/>
                <c:pt idx="0">
                  <c:v>Unidades Promedio
 x Compra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'!$I$4:$I$33</c:f>
              <c:numCache>
                <c:formatCode>0.0</c:formatCode>
                <c:ptCount val="30"/>
                <c:pt idx="0">
                  <c:v>2.5210084033613445</c:v>
                </c:pt>
                <c:pt idx="1">
                  <c:v>1.8623188405797102</c:v>
                </c:pt>
                <c:pt idx="2">
                  <c:v>2.2954545454545454</c:v>
                </c:pt>
                <c:pt idx="3">
                  <c:v>1.859504132231405</c:v>
                </c:pt>
                <c:pt idx="4">
                  <c:v>2.0504201680672267</c:v>
                </c:pt>
                <c:pt idx="5">
                  <c:v>2.1048387096774195</c:v>
                </c:pt>
                <c:pt idx="6">
                  <c:v>2.0797546012269938</c:v>
                </c:pt>
                <c:pt idx="7">
                  <c:v>2</c:v>
                </c:pt>
                <c:pt idx="8">
                  <c:v>2.13768115942029</c:v>
                </c:pt>
                <c:pt idx="9">
                  <c:v>1.945736434108527</c:v>
                </c:pt>
                <c:pt idx="10">
                  <c:v>2</c:v>
                </c:pt>
                <c:pt idx="11">
                  <c:v>1.9359999999999999</c:v>
                </c:pt>
                <c:pt idx="12">
                  <c:v>1.9416666666666667</c:v>
                </c:pt>
                <c:pt idx="13">
                  <c:v>1.7931034482758621</c:v>
                </c:pt>
                <c:pt idx="14">
                  <c:v>1.823076923076923</c:v>
                </c:pt>
                <c:pt idx="15">
                  <c:v>2.21875</c:v>
                </c:pt>
                <c:pt idx="16">
                  <c:v>1.8895705521472392</c:v>
                </c:pt>
                <c:pt idx="17">
                  <c:v>1.7080291970802919</c:v>
                </c:pt>
                <c:pt idx="18">
                  <c:v>1.7222222222222223</c:v>
                </c:pt>
                <c:pt idx="19">
                  <c:v>1.9206349206349207</c:v>
                </c:pt>
                <c:pt idx="20">
                  <c:v>1.8503937007874016</c:v>
                </c:pt>
                <c:pt idx="21">
                  <c:v>1.9241379310344828</c:v>
                </c:pt>
                <c:pt idx="22">
                  <c:v>1.9606299212598426</c:v>
                </c:pt>
                <c:pt idx="23">
                  <c:v>2.0745341614906834</c:v>
                </c:pt>
                <c:pt idx="24">
                  <c:v>1.7032258064516128</c:v>
                </c:pt>
                <c:pt idx="25">
                  <c:v>1.8888888888888888</c:v>
                </c:pt>
                <c:pt idx="26">
                  <c:v>1.8018867924528301</c:v>
                </c:pt>
                <c:pt idx="27">
                  <c:v>1.8677685950413223</c:v>
                </c:pt>
                <c:pt idx="28">
                  <c:v>1.847457627118644</c:v>
                </c:pt>
                <c:pt idx="29">
                  <c:v>2.2054794520547945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A-4980-94B7-17F31D565BBE}"/>
            </c:ext>
          </c:extLst>
        </c:ser>
        <c:ser>
          <c:idx val="1"/>
          <c:order val="1"/>
          <c:tx>
            <c:strRef>
              <c:f>'Indicadores '!$J$3</c:f>
              <c:strCache>
                <c:ptCount val="1"/>
                <c:pt idx="0">
                  <c:v>Ticket Promedio en $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'!$J$4:$J$33</c:f>
              <c:numCache>
                <c:formatCode>0.0</c:formatCode>
                <c:ptCount val="30"/>
                <c:pt idx="0">
                  <c:v>5.1603352739640727</c:v>
                </c:pt>
                <c:pt idx="1">
                  <c:v>4.7407240946634941</c:v>
                </c:pt>
                <c:pt idx="2">
                  <c:v>5.17328082201416</c:v>
                </c:pt>
                <c:pt idx="3">
                  <c:v>4.7932000069705536</c:v>
                </c:pt>
                <c:pt idx="4">
                  <c:v>4.4222108945659144</c:v>
                </c:pt>
                <c:pt idx="5">
                  <c:v>5.0650828932203602</c:v>
                </c:pt>
                <c:pt idx="6">
                  <c:v>4.3768369379590091</c:v>
                </c:pt>
                <c:pt idx="7">
                  <c:v>4.7018125696133612</c:v>
                </c:pt>
                <c:pt idx="8">
                  <c:v>4.7364853997056189</c:v>
                </c:pt>
                <c:pt idx="9">
                  <c:v>5.7708183680824598</c:v>
                </c:pt>
                <c:pt idx="10">
                  <c:v>4.1748359637657124</c:v>
                </c:pt>
                <c:pt idx="11">
                  <c:v>4.4731427133148758</c:v>
                </c:pt>
                <c:pt idx="12">
                  <c:v>4.8613914757949495</c:v>
                </c:pt>
                <c:pt idx="13">
                  <c:v>4.8157060156053362</c:v>
                </c:pt>
                <c:pt idx="14">
                  <c:v>4.2049909001142325</c:v>
                </c:pt>
                <c:pt idx="15">
                  <c:v>5.5695217059336821</c:v>
                </c:pt>
                <c:pt idx="16">
                  <c:v>4.2886509907762651</c:v>
                </c:pt>
                <c:pt idx="17">
                  <c:v>5.2295429525734791</c:v>
                </c:pt>
                <c:pt idx="18">
                  <c:v>5.0512375002399184</c:v>
                </c:pt>
                <c:pt idx="19">
                  <c:v>4.2686095276482217</c:v>
                </c:pt>
                <c:pt idx="20">
                  <c:v>4.8957725961401133</c:v>
                </c:pt>
                <c:pt idx="21">
                  <c:v>4.3639282771868952</c:v>
                </c:pt>
                <c:pt idx="22">
                  <c:v>5.1414789764527304</c:v>
                </c:pt>
                <c:pt idx="23">
                  <c:v>5.3015018126460465</c:v>
                </c:pt>
                <c:pt idx="24">
                  <c:v>5.459813329729081</c:v>
                </c:pt>
                <c:pt idx="25">
                  <c:v>5.0388780620174165</c:v>
                </c:pt>
                <c:pt idx="26">
                  <c:v>4.7823976480528776</c:v>
                </c:pt>
                <c:pt idx="27">
                  <c:v>5.1161425085853276</c:v>
                </c:pt>
                <c:pt idx="28">
                  <c:v>4.9939456283847168</c:v>
                </c:pt>
                <c:pt idx="29">
                  <c:v>4.5356618665029504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A-4980-94B7-17F31D565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63608"/>
        <c:axId val="229309952"/>
      </c:lineChart>
      <c:catAx>
        <c:axId val="187463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9309952"/>
        <c:crosses val="autoZero"/>
        <c:auto val="1"/>
        <c:lblAlgn val="ctr"/>
        <c:lblOffset val="100"/>
        <c:noMultiLvlLbl val="0"/>
      </c:catAx>
      <c:valAx>
        <c:axId val="2293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8746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'!$M$2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'!$A$3:$A$34</c:f>
              <c:strCache>
                <c:ptCount val="31"/>
                <c:pt idx="0">
                  <c:v>#</c:v>
                </c:pt>
                <c:pt idx="1">
                  <c:v>v</c:v>
                </c:pt>
                <c:pt idx="2">
                  <c:v>S</c:v>
                </c:pt>
                <c:pt idx="3">
                  <c:v>D</c:v>
                </c:pt>
                <c:pt idx="4">
                  <c:v>L</c:v>
                </c:pt>
                <c:pt idx="5">
                  <c:v>M</c:v>
                </c:pt>
                <c:pt idx="6">
                  <c:v>M</c:v>
                </c:pt>
                <c:pt idx="7">
                  <c:v>J</c:v>
                </c:pt>
                <c:pt idx="8">
                  <c:v>V</c:v>
                </c:pt>
                <c:pt idx="9">
                  <c:v>S</c:v>
                </c:pt>
                <c:pt idx="10">
                  <c:v>D</c:v>
                </c:pt>
                <c:pt idx="11">
                  <c:v>L</c:v>
                </c:pt>
                <c:pt idx="12">
                  <c:v>M</c:v>
                </c:pt>
                <c:pt idx="13">
                  <c:v>M</c:v>
                </c:pt>
                <c:pt idx="14">
                  <c:v>J</c:v>
                </c:pt>
                <c:pt idx="15">
                  <c:v>V</c:v>
                </c:pt>
                <c:pt idx="16">
                  <c:v>S</c:v>
                </c:pt>
                <c:pt idx="17">
                  <c:v>D</c:v>
                </c:pt>
                <c:pt idx="18">
                  <c:v>L</c:v>
                </c:pt>
                <c:pt idx="19">
                  <c:v>M</c:v>
                </c:pt>
                <c:pt idx="20">
                  <c:v>M</c:v>
                </c:pt>
                <c:pt idx="21">
                  <c:v>J</c:v>
                </c:pt>
                <c:pt idx="22">
                  <c:v>V</c:v>
                </c:pt>
                <c:pt idx="23">
                  <c:v>S</c:v>
                </c:pt>
                <c:pt idx="24">
                  <c:v>D</c:v>
                </c:pt>
                <c:pt idx="25">
                  <c:v>L</c:v>
                </c:pt>
                <c:pt idx="26">
                  <c:v>M</c:v>
                </c:pt>
                <c:pt idx="27">
                  <c:v>M</c:v>
                </c:pt>
                <c:pt idx="28">
                  <c:v>J</c:v>
                </c:pt>
                <c:pt idx="29">
                  <c:v>V</c:v>
                </c:pt>
                <c:pt idx="30">
                  <c:v>S</c:v>
                </c:pt>
              </c:strCache>
            </c:strRef>
          </c:cat>
          <c:val>
            <c:numRef>
              <c:f>'Indicadores '!$M$3:$M$34</c:f>
              <c:numCache>
                <c:formatCode>0</c:formatCode>
                <c:ptCount val="32"/>
                <c:pt idx="0" formatCode="General">
                  <c:v>0</c:v>
                </c:pt>
                <c:pt idx="1">
                  <c:v>29.75</c:v>
                </c:pt>
                <c:pt idx="2">
                  <c:v>34.5</c:v>
                </c:pt>
                <c:pt idx="3">
                  <c:v>44</c:v>
                </c:pt>
                <c:pt idx="4">
                  <c:v>40.333333333333336</c:v>
                </c:pt>
                <c:pt idx="5">
                  <c:v>39.666666666666664</c:v>
                </c:pt>
                <c:pt idx="6">
                  <c:v>41.333333333333336</c:v>
                </c:pt>
                <c:pt idx="7">
                  <c:v>40.75</c:v>
                </c:pt>
                <c:pt idx="8">
                  <c:v>39</c:v>
                </c:pt>
                <c:pt idx="9">
                  <c:v>46</c:v>
                </c:pt>
                <c:pt idx="10">
                  <c:v>43</c:v>
                </c:pt>
                <c:pt idx="11">
                  <c:v>39</c:v>
                </c:pt>
                <c:pt idx="12">
                  <c:v>41.666666666666664</c:v>
                </c:pt>
                <c:pt idx="13">
                  <c:v>40</c:v>
                </c:pt>
                <c:pt idx="14">
                  <c:v>48.333333333333336</c:v>
                </c:pt>
                <c:pt idx="15">
                  <c:v>43.333333333333336</c:v>
                </c:pt>
                <c:pt idx="16">
                  <c:v>10.666666666666666</c:v>
                </c:pt>
                <c:pt idx="17">
                  <c:v>54.333333333333336</c:v>
                </c:pt>
                <c:pt idx="18">
                  <c:v>45.666666666666664</c:v>
                </c:pt>
                <c:pt idx="19">
                  <c:v>42</c:v>
                </c:pt>
                <c:pt idx="20">
                  <c:v>42</c:v>
                </c:pt>
                <c:pt idx="21">
                  <c:v>42.333333333333336</c:v>
                </c:pt>
                <c:pt idx="22">
                  <c:v>48.333333333333336</c:v>
                </c:pt>
                <c:pt idx="23">
                  <c:v>42.333333333333336</c:v>
                </c:pt>
                <c:pt idx="24">
                  <c:v>53.666666666666664</c:v>
                </c:pt>
                <c:pt idx="25">
                  <c:v>51.666666666666664</c:v>
                </c:pt>
                <c:pt idx="26">
                  <c:v>42</c:v>
                </c:pt>
                <c:pt idx="27">
                  <c:v>35.333333333333336</c:v>
                </c:pt>
                <c:pt idx="28">
                  <c:v>40.333333333333336</c:v>
                </c:pt>
                <c:pt idx="29">
                  <c:v>39.333333333333336</c:v>
                </c:pt>
                <c:pt idx="30">
                  <c:v>48.666666666666664</c:v>
                </c:pt>
                <c:pt idx="31">
                  <c:v>41.644444444444439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3-43C5-8F03-2D8185BCC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311128"/>
        <c:axId val="229311520"/>
      </c:lineChart>
      <c:catAx>
        <c:axId val="229311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9311520"/>
        <c:crosses val="autoZero"/>
        <c:auto val="1"/>
        <c:lblAlgn val="ctr"/>
        <c:lblOffset val="100"/>
        <c:noMultiLvlLbl val="0"/>
      </c:catAx>
      <c:valAx>
        <c:axId val="229311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931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'!$K$3</c:f>
              <c:strCache>
                <c:ptCount val="1"/>
                <c:pt idx="0">
                  <c:v>Unidades Cargadas (inventario)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'!$K$4:$K$33</c:f>
              <c:numCache>
                <c:formatCode>General</c:formatCode>
                <c:ptCount val="30"/>
                <c:pt idx="0">
                  <c:v>9029</c:v>
                </c:pt>
                <c:pt idx="1">
                  <c:v>9848</c:v>
                </c:pt>
                <c:pt idx="2">
                  <c:v>9914</c:v>
                </c:pt>
                <c:pt idx="3">
                  <c:v>9672</c:v>
                </c:pt>
                <c:pt idx="4">
                  <c:v>9424</c:v>
                </c:pt>
                <c:pt idx="6">
                  <c:v>8936</c:v>
                </c:pt>
                <c:pt idx="7">
                  <c:v>9383</c:v>
                </c:pt>
                <c:pt idx="8">
                  <c:v>9231</c:v>
                </c:pt>
                <c:pt idx="9">
                  <c:v>9598</c:v>
                </c:pt>
                <c:pt idx="10">
                  <c:v>9581</c:v>
                </c:pt>
                <c:pt idx="11">
                  <c:v>10445</c:v>
                </c:pt>
                <c:pt idx="13">
                  <c:v>10166</c:v>
                </c:pt>
                <c:pt idx="14">
                  <c:v>10166</c:v>
                </c:pt>
                <c:pt idx="16" formatCode="#,##0">
                  <c:v>10125</c:v>
                </c:pt>
                <c:pt idx="17">
                  <c:v>10004</c:v>
                </c:pt>
                <c:pt idx="18">
                  <c:v>10080</c:v>
                </c:pt>
                <c:pt idx="20">
                  <c:v>9622</c:v>
                </c:pt>
                <c:pt idx="21">
                  <c:v>9798</c:v>
                </c:pt>
                <c:pt idx="22">
                  <c:v>9667</c:v>
                </c:pt>
                <c:pt idx="23">
                  <c:v>9666</c:v>
                </c:pt>
                <c:pt idx="24">
                  <c:v>9764</c:v>
                </c:pt>
                <c:pt idx="25">
                  <c:v>10098</c:v>
                </c:pt>
                <c:pt idx="27">
                  <c:v>9788</c:v>
                </c:pt>
                <c:pt idx="28">
                  <c:v>9609</c:v>
                </c:pt>
                <c:pt idx="29">
                  <c:v>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0-4652-B9A3-C7AEC2B501F5}"/>
            </c:ext>
          </c:extLst>
        </c:ser>
        <c:ser>
          <c:idx val="1"/>
          <c:order val="1"/>
          <c:tx>
            <c:strRef>
              <c:f>'Indicadores '!$L$3</c:f>
              <c:strCache>
                <c:ptCount val="1"/>
                <c:pt idx="0">
                  <c:v>Valuacion de Inventario costo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'!$L$4:$L$33</c:f>
              <c:numCache>
                <c:formatCode>#,##0</c:formatCode>
                <c:ptCount val="30"/>
                <c:pt idx="0">
                  <c:v>21848.73</c:v>
                </c:pt>
                <c:pt idx="1">
                  <c:v>22358.31</c:v>
                </c:pt>
                <c:pt idx="2">
                  <c:v>22631.16</c:v>
                </c:pt>
                <c:pt idx="3">
                  <c:v>22221.96</c:v>
                </c:pt>
                <c:pt idx="4">
                  <c:v>21956.23</c:v>
                </c:pt>
                <c:pt idx="6">
                  <c:v>21268</c:v>
                </c:pt>
                <c:pt idx="7">
                  <c:v>22195.53</c:v>
                </c:pt>
                <c:pt idx="8">
                  <c:v>22179.96</c:v>
                </c:pt>
                <c:pt idx="9">
                  <c:v>22714.05</c:v>
                </c:pt>
                <c:pt idx="10">
                  <c:v>22981.42</c:v>
                </c:pt>
                <c:pt idx="11">
                  <c:v>23092.74</c:v>
                </c:pt>
                <c:pt idx="13">
                  <c:v>22892.736000000001</c:v>
                </c:pt>
                <c:pt idx="14">
                  <c:v>23005.49</c:v>
                </c:pt>
                <c:pt idx="16">
                  <c:v>23248.01</c:v>
                </c:pt>
                <c:pt idx="17">
                  <c:v>23077.46</c:v>
                </c:pt>
                <c:pt idx="18">
                  <c:v>23324.91</c:v>
                </c:pt>
                <c:pt idx="20">
                  <c:v>22529.66</c:v>
                </c:pt>
                <c:pt idx="21">
                  <c:v>22656.49</c:v>
                </c:pt>
                <c:pt idx="22">
                  <c:v>22487.23</c:v>
                </c:pt>
                <c:pt idx="23">
                  <c:v>22846.86</c:v>
                </c:pt>
                <c:pt idx="24">
                  <c:v>22936.01</c:v>
                </c:pt>
                <c:pt idx="25">
                  <c:v>23791</c:v>
                </c:pt>
                <c:pt idx="27">
                  <c:v>23130</c:v>
                </c:pt>
                <c:pt idx="28">
                  <c:v>22991.7</c:v>
                </c:pt>
                <c:pt idx="29">
                  <c:v>23545.31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0-4652-B9A3-C7AEC2B50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11912"/>
        <c:axId val="229312304"/>
      </c:barChart>
      <c:catAx>
        <c:axId val="22931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9312304"/>
        <c:crosses val="autoZero"/>
        <c:auto val="1"/>
        <c:lblAlgn val="ctr"/>
        <c:lblOffset val="100"/>
        <c:noMultiLvlLbl val="0"/>
      </c:catAx>
      <c:valAx>
        <c:axId val="2293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2931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msn.com/es-ve/play/games/piece-of-cake/cg-9n5mln8fpwg8?cgfrom=cg_prong2_cardgameitem&amp;ocid=winp2fp" TargetMode="External"/><Relationship Id="rId1" Type="http://schemas.openxmlformats.org/officeDocument/2006/relationships/chart" Target="../charts/chart2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266700</xdr:colOff>
      <xdr:row>21</xdr:row>
      <xdr:rowOff>104774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238124</xdr:colOff>
      <xdr:row>21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30</xdr:row>
      <xdr:rowOff>0</xdr:rowOff>
    </xdr:from>
    <xdr:to>
      <xdr:col>17</xdr:col>
      <xdr:colOff>38100</xdr:colOff>
      <xdr:row>34</xdr:row>
      <xdr:rowOff>38100</xdr:rowOff>
    </xdr:to>
    <xdr:pic>
      <xdr:nvPicPr>
        <xdr:cNvPr id="2" name="Imagen 1" descr="Piece of Cake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29898D17-402C-D40D-3202-0C917EDF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571500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18</xdr:col>
      <xdr:colOff>371475</xdr:colOff>
      <xdr:row>37</xdr:row>
      <xdr:rowOff>104775</xdr:rowOff>
    </xdr:to>
    <xdr:pic>
      <xdr:nvPicPr>
        <xdr:cNvPr id="4" name="Imagen 3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BB44D6E2-8FA9-2C5A-AED1-A39A38480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6096000"/>
          <a:ext cx="18954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238124</xdr:colOff>
      <xdr:row>20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16</xdr:col>
      <xdr:colOff>485775</xdr:colOff>
      <xdr:row>21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16</xdr:col>
      <xdr:colOff>295275</xdr:colOff>
      <xdr:row>21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238124</xdr:colOff>
      <xdr:row>20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247650</xdr:colOff>
      <xdr:row>20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sn.com/es-ve/play/games/piece-of-cake/cg-9n5mln8fpwg8?cgfrom=cg_prong2_cardgameitem&amp;ocid=winp2fp" TargetMode="External"/><Relationship Id="rId2" Type="http://schemas.openxmlformats.org/officeDocument/2006/relationships/hyperlink" Target="https://www.msn.com/es-ve/play/games/piece-of-cake/cg-9n5mln8fpwg8?cgfrom=cg_prong2_cardgameitem&amp;ocid=winp2fp" TargetMode="External"/><Relationship Id="rId1" Type="http://schemas.openxmlformats.org/officeDocument/2006/relationships/hyperlink" Target="https://www.msn.com/es-ve/play/games/piece-of-cake/cg-9n5mln8fpwg8?cgfrom=cg_prong2_cardgameitem&amp;ocid=winp2fp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www.msn.com/es-ve/play/games/piece-of-cake/cg-9n5mln8fpwg8?cgfrom=cg_prong2_cardgameitem&amp;ocid=winp2f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9"/>
  <sheetViews>
    <sheetView showGridLines="0" tabSelected="1" topLeftCell="A22" zoomScale="80" zoomScaleNormal="80" workbookViewId="0">
      <selection activeCell="F34" sqref="F34"/>
    </sheetView>
  </sheetViews>
  <sheetFormatPr baseColWidth="10" defaultColWidth="11.42578125" defaultRowHeight="15" x14ac:dyDescent="0.25"/>
  <cols>
    <col min="1" max="1" width="8" style="1" customWidth="1"/>
    <col min="2" max="2" width="25.28515625" style="1" customWidth="1"/>
    <col min="3" max="3" width="22.5703125" style="1" customWidth="1"/>
    <col min="4" max="4" width="15.5703125" style="1" customWidth="1"/>
    <col min="5" max="5" width="18.28515625" style="1" customWidth="1"/>
    <col min="6" max="6" width="14.28515625" style="1" customWidth="1"/>
    <col min="7" max="7" width="11.42578125" style="1"/>
    <col min="8" max="8" width="18.85546875" style="1" customWidth="1"/>
    <col min="9" max="9" width="20.85546875" style="1" customWidth="1"/>
    <col min="10" max="10" width="20.140625" style="1" customWidth="1"/>
    <col min="11" max="11" width="18.85546875" style="1" customWidth="1"/>
    <col min="12" max="12" width="25.7109375" style="1" customWidth="1"/>
    <col min="13" max="13" width="21.28515625" style="1" customWidth="1"/>
    <col min="14" max="14" width="15" style="1" customWidth="1"/>
    <col min="15" max="16384" width="11.42578125" style="1"/>
  </cols>
  <sheetData>
    <row r="2" spans="1:14" ht="15.75" x14ac:dyDescent="0.25">
      <c r="B2" s="10" t="s">
        <v>46</v>
      </c>
      <c r="C2" s="22" t="s">
        <v>41</v>
      </c>
    </row>
    <row r="3" spans="1:14" ht="31.5" customHeight="1" x14ac:dyDescent="0.25">
      <c r="A3" s="6" t="s">
        <v>7</v>
      </c>
      <c r="B3" s="6" t="s">
        <v>0</v>
      </c>
      <c r="C3" s="6" t="s">
        <v>2</v>
      </c>
      <c r="D3" s="6" t="s">
        <v>3</v>
      </c>
      <c r="E3" s="6" t="s">
        <v>4</v>
      </c>
      <c r="F3" s="6" t="s">
        <v>27</v>
      </c>
      <c r="G3" s="6" t="s">
        <v>1</v>
      </c>
      <c r="H3" s="6" t="s">
        <v>5</v>
      </c>
      <c r="I3" s="7" t="s">
        <v>8</v>
      </c>
      <c r="J3" s="7" t="s">
        <v>14</v>
      </c>
      <c r="K3" s="7" t="s">
        <v>40</v>
      </c>
      <c r="L3" s="7" t="s">
        <v>39</v>
      </c>
      <c r="M3" s="7" t="s">
        <v>36</v>
      </c>
      <c r="N3" s="7" t="s">
        <v>37</v>
      </c>
    </row>
    <row r="4" spans="1:14" x14ac:dyDescent="0.25">
      <c r="A4" s="3" t="s">
        <v>45</v>
      </c>
      <c r="B4" s="23">
        <v>45901</v>
      </c>
      <c r="C4" s="19">
        <v>91154.02</v>
      </c>
      <c r="D4" s="11">
        <f t="shared" ref="D4:D33" si="0">IF(ISERROR(C4/E4),"-",C4/E4)</f>
        <v>614.07989760172461</v>
      </c>
      <c r="E4" s="19">
        <v>148.44</v>
      </c>
      <c r="F4" s="1">
        <v>119</v>
      </c>
      <c r="G4" s="1">
        <v>300</v>
      </c>
      <c r="H4" s="12">
        <f t="shared" ref="H4:H33" si="1">IF(ISERROR(C4/F4),"-",C4/F4)</f>
        <v>766.00016806722692</v>
      </c>
      <c r="I4" s="13">
        <f t="shared" ref="I4:I33" si="2">IF(ISERROR(G4/F4),"-",G4/F4)</f>
        <v>2.5210084033613445</v>
      </c>
      <c r="J4" s="13">
        <f t="shared" ref="J4:J33" si="3">IF(ISERROR(H4/E4),"-",H4/E4)</f>
        <v>5.1603352739640727</v>
      </c>
      <c r="K4" s="1">
        <v>9029</v>
      </c>
      <c r="L4" s="2">
        <v>21848.73</v>
      </c>
      <c r="M4" s="11">
        <f t="shared" ref="M4:M33" si="4">IF(ISERROR(F4/N4),"-",F4/N4)</f>
        <v>29.75</v>
      </c>
      <c r="N4" s="1">
        <v>4</v>
      </c>
    </row>
    <row r="5" spans="1:14" x14ac:dyDescent="0.25">
      <c r="A5" s="3" t="s">
        <v>29</v>
      </c>
      <c r="B5" s="23">
        <v>45902</v>
      </c>
      <c r="C5" s="19">
        <v>97779.71</v>
      </c>
      <c r="D5" s="11">
        <f t="shared" si="0"/>
        <v>654.21992506356219</v>
      </c>
      <c r="E5" s="19">
        <v>149.46</v>
      </c>
      <c r="F5" s="1">
        <v>138</v>
      </c>
      <c r="G5" s="1">
        <v>257</v>
      </c>
      <c r="H5" s="12">
        <f t="shared" si="1"/>
        <v>708.54862318840583</v>
      </c>
      <c r="I5" s="13">
        <f t="shared" si="2"/>
        <v>1.8623188405797102</v>
      </c>
      <c r="J5" s="13">
        <f t="shared" si="3"/>
        <v>4.7407240946634941</v>
      </c>
      <c r="K5" s="1">
        <v>9848</v>
      </c>
      <c r="L5" s="2">
        <v>22358.31</v>
      </c>
      <c r="M5" s="11">
        <f t="shared" si="4"/>
        <v>34.5</v>
      </c>
      <c r="N5" s="1">
        <v>4</v>
      </c>
    </row>
    <row r="6" spans="1:14" x14ac:dyDescent="0.25">
      <c r="A6" s="3" t="s">
        <v>30</v>
      </c>
      <c r="B6" s="23">
        <v>45903</v>
      </c>
      <c r="C6" s="19">
        <v>102970.43</v>
      </c>
      <c r="D6" s="11">
        <f t="shared" si="0"/>
        <v>682.87306850586913</v>
      </c>
      <c r="E6" s="19">
        <v>150.79</v>
      </c>
      <c r="F6" s="1">
        <v>132</v>
      </c>
      <c r="G6" s="1">
        <v>303</v>
      </c>
      <c r="H6" s="12">
        <f t="shared" si="1"/>
        <v>780.07901515151514</v>
      </c>
      <c r="I6" s="13">
        <f t="shared" si="2"/>
        <v>2.2954545454545454</v>
      </c>
      <c r="J6" s="13">
        <f t="shared" si="3"/>
        <v>5.17328082201416</v>
      </c>
      <c r="K6" s="1">
        <v>9914</v>
      </c>
      <c r="L6" s="2">
        <v>22631.16</v>
      </c>
      <c r="M6" s="11">
        <f t="shared" si="4"/>
        <v>44</v>
      </c>
      <c r="N6" s="1">
        <v>3</v>
      </c>
    </row>
    <row r="7" spans="1:14" x14ac:dyDescent="0.25">
      <c r="A7" s="1" t="s">
        <v>31</v>
      </c>
      <c r="B7" s="23">
        <v>45904</v>
      </c>
      <c r="C7" s="19">
        <v>88017.34</v>
      </c>
      <c r="D7" s="11">
        <f t="shared" si="0"/>
        <v>579.977200843437</v>
      </c>
      <c r="E7" s="19">
        <v>151.76</v>
      </c>
      <c r="F7" s="1">
        <v>121</v>
      </c>
      <c r="G7" s="1">
        <v>225</v>
      </c>
      <c r="H7" s="12">
        <f t="shared" si="1"/>
        <v>727.41603305785122</v>
      </c>
      <c r="I7" s="13">
        <f t="shared" si="2"/>
        <v>1.859504132231405</v>
      </c>
      <c r="J7" s="13">
        <f t="shared" si="3"/>
        <v>4.7932000069705536</v>
      </c>
      <c r="K7" s="1">
        <v>9672</v>
      </c>
      <c r="L7" s="2">
        <v>22221.96</v>
      </c>
      <c r="M7" s="11">
        <f t="shared" si="4"/>
        <v>40.333333333333336</v>
      </c>
      <c r="N7" s="1">
        <v>3</v>
      </c>
    </row>
    <row r="8" spans="1:14" x14ac:dyDescent="0.25">
      <c r="A8" s="1" t="s">
        <v>32</v>
      </c>
      <c r="B8" s="23">
        <v>45905</v>
      </c>
      <c r="C8" s="19">
        <v>80420.47</v>
      </c>
      <c r="D8" s="11">
        <f t="shared" si="0"/>
        <v>526.24309645334381</v>
      </c>
      <c r="E8" s="19">
        <v>152.82</v>
      </c>
      <c r="F8" s="1">
        <v>119</v>
      </c>
      <c r="G8" s="1">
        <v>244</v>
      </c>
      <c r="H8" s="12">
        <f t="shared" si="1"/>
        <v>675.80226890756308</v>
      </c>
      <c r="I8" s="13">
        <f t="shared" si="2"/>
        <v>2.0504201680672267</v>
      </c>
      <c r="J8" s="13">
        <f t="shared" si="3"/>
        <v>4.4222108945659144</v>
      </c>
      <c r="K8" s="1">
        <v>9424</v>
      </c>
      <c r="L8" s="2">
        <v>21956.23</v>
      </c>
      <c r="M8" s="11">
        <f t="shared" si="4"/>
        <v>39.666666666666664</v>
      </c>
      <c r="N8" s="1">
        <v>3</v>
      </c>
    </row>
    <row r="9" spans="1:14" x14ac:dyDescent="0.25">
      <c r="A9" s="3" t="s">
        <v>32</v>
      </c>
      <c r="B9" s="23">
        <v>45906</v>
      </c>
      <c r="C9" s="19">
        <v>95981.7</v>
      </c>
      <c r="D9" s="11">
        <f t="shared" si="0"/>
        <v>628.07027875932465</v>
      </c>
      <c r="E9" s="19">
        <v>152.82</v>
      </c>
      <c r="F9" s="1">
        <v>124</v>
      </c>
      <c r="G9" s="1">
        <v>261</v>
      </c>
      <c r="H9" s="12">
        <f t="shared" si="1"/>
        <v>774.04596774193544</v>
      </c>
      <c r="I9" s="13">
        <f t="shared" si="2"/>
        <v>2.1048387096774195</v>
      </c>
      <c r="J9" s="13">
        <f t="shared" si="3"/>
        <v>5.0650828932203602</v>
      </c>
      <c r="L9" s="2"/>
      <c r="M9" s="11">
        <f t="shared" si="4"/>
        <v>41.333333333333336</v>
      </c>
      <c r="N9" s="1">
        <v>3</v>
      </c>
    </row>
    <row r="10" spans="1:14" x14ac:dyDescent="0.25">
      <c r="A10" s="3" t="s">
        <v>33</v>
      </c>
      <c r="B10" s="23">
        <v>45907</v>
      </c>
      <c r="C10" s="19">
        <v>109025.52</v>
      </c>
      <c r="D10" s="11">
        <f t="shared" si="0"/>
        <v>713.42442088731843</v>
      </c>
      <c r="E10" s="19">
        <v>152.82</v>
      </c>
      <c r="F10" s="1">
        <v>163</v>
      </c>
      <c r="G10" s="1">
        <v>339</v>
      </c>
      <c r="H10" s="12">
        <f t="shared" si="1"/>
        <v>668.86822085889571</v>
      </c>
      <c r="I10" s="13">
        <f t="shared" si="2"/>
        <v>2.0797546012269938</v>
      </c>
      <c r="J10" s="13">
        <f t="shared" si="3"/>
        <v>4.3768369379590091</v>
      </c>
      <c r="K10" s="1">
        <v>8936</v>
      </c>
      <c r="L10" s="2">
        <v>21268</v>
      </c>
      <c r="M10" s="11">
        <f t="shared" si="4"/>
        <v>40.75</v>
      </c>
      <c r="N10" s="1">
        <v>4</v>
      </c>
    </row>
    <row r="11" spans="1:14" x14ac:dyDescent="0.25">
      <c r="A11" s="3" t="s">
        <v>28</v>
      </c>
      <c r="B11" s="23">
        <v>45908</v>
      </c>
      <c r="C11" s="19">
        <v>84722.76</v>
      </c>
      <c r="D11" s="11">
        <f t="shared" si="0"/>
        <v>550.11207064476332</v>
      </c>
      <c r="E11" s="19">
        <v>154.01</v>
      </c>
      <c r="F11" s="1">
        <v>117</v>
      </c>
      <c r="G11" s="1">
        <v>234</v>
      </c>
      <c r="H11" s="12">
        <f t="shared" si="1"/>
        <v>724.12615384615378</v>
      </c>
      <c r="I11" s="13">
        <f t="shared" si="2"/>
        <v>2</v>
      </c>
      <c r="J11" s="13">
        <f t="shared" si="3"/>
        <v>4.7018125696133612</v>
      </c>
      <c r="K11" s="1">
        <v>9383</v>
      </c>
      <c r="L11" s="2">
        <v>22195.53</v>
      </c>
      <c r="M11" s="11">
        <f t="shared" si="4"/>
        <v>39</v>
      </c>
      <c r="N11" s="1">
        <v>3</v>
      </c>
    </row>
    <row r="12" spans="1:14" x14ac:dyDescent="0.25">
      <c r="A12" s="3" t="s">
        <v>29</v>
      </c>
      <c r="B12" s="23">
        <v>45909</v>
      </c>
      <c r="C12" s="19">
        <v>101300.35</v>
      </c>
      <c r="D12" s="11">
        <f t="shared" si="0"/>
        <v>653.63498515937545</v>
      </c>
      <c r="E12" s="19">
        <v>154.97999999999999</v>
      </c>
      <c r="F12" s="1">
        <v>138</v>
      </c>
      <c r="G12" s="1">
        <v>295</v>
      </c>
      <c r="H12" s="12">
        <f t="shared" si="1"/>
        <v>734.0605072463768</v>
      </c>
      <c r="I12" s="13">
        <f t="shared" si="2"/>
        <v>2.13768115942029</v>
      </c>
      <c r="J12" s="13">
        <f t="shared" si="3"/>
        <v>4.7364853997056189</v>
      </c>
      <c r="K12" s="1">
        <v>9231</v>
      </c>
      <c r="L12" s="2">
        <v>22179.96</v>
      </c>
      <c r="M12" s="11">
        <f t="shared" si="4"/>
        <v>46</v>
      </c>
      <c r="N12" s="1">
        <v>3</v>
      </c>
    </row>
    <row r="13" spans="1:14" x14ac:dyDescent="0.25">
      <c r="A13" s="3" t="s">
        <v>30</v>
      </c>
      <c r="B13" s="23">
        <v>45910</v>
      </c>
      <c r="C13" s="19">
        <v>116407.39</v>
      </c>
      <c r="D13" s="11">
        <f t="shared" si="0"/>
        <v>744.43556948263733</v>
      </c>
      <c r="E13" s="19">
        <v>156.37</v>
      </c>
      <c r="F13" s="1">
        <v>129</v>
      </c>
      <c r="G13" s="1">
        <v>251</v>
      </c>
      <c r="H13" s="12">
        <f t="shared" si="1"/>
        <v>902.38286821705424</v>
      </c>
      <c r="I13" s="13">
        <f t="shared" si="2"/>
        <v>1.945736434108527</v>
      </c>
      <c r="J13" s="13">
        <f t="shared" si="3"/>
        <v>5.7708183680824598</v>
      </c>
      <c r="K13" s="1">
        <v>9598</v>
      </c>
      <c r="L13" s="2">
        <v>22714.05</v>
      </c>
      <c r="M13" s="11">
        <f t="shared" si="4"/>
        <v>43</v>
      </c>
      <c r="N13" s="1">
        <v>3</v>
      </c>
    </row>
    <row r="14" spans="1:14" x14ac:dyDescent="0.25">
      <c r="A14" s="1" t="s">
        <v>31</v>
      </c>
      <c r="B14" s="23">
        <v>45911</v>
      </c>
      <c r="C14" s="19">
        <v>77039.25</v>
      </c>
      <c r="D14" s="11">
        <f t="shared" si="0"/>
        <v>488.45580776058841</v>
      </c>
      <c r="E14" s="19">
        <v>157.72</v>
      </c>
      <c r="F14" s="1">
        <v>117</v>
      </c>
      <c r="G14" s="1">
        <v>234</v>
      </c>
      <c r="H14" s="12">
        <f t="shared" si="1"/>
        <v>658.45512820512818</v>
      </c>
      <c r="I14" s="13">
        <f t="shared" si="2"/>
        <v>2</v>
      </c>
      <c r="J14" s="13">
        <f t="shared" si="3"/>
        <v>4.1748359637657124</v>
      </c>
      <c r="K14" s="1">
        <v>9581</v>
      </c>
      <c r="L14" s="2">
        <v>22981.42</v>
      </c>
      <c r="M14" s="11">
        <f t="shared" si="4"/>
        <v>39</v>
      </c>
      <c r="N14" s="1">
        <v>3</v>
      </c>
    </row>
    <row r="15" spans="1:14" x14ac:dyDescent="0.25">
      <c r="A15" s="1" t="s">
        <v>32</v>
      </c>
      <c r="B15" s="23">
        <v>45912</v>
      </c>
      <c r="C15" s="19">
        <v>88858.98</v>
      </c>
      <c r="D15" s="11">
        <f t="shared" si="0"/>
        <v>559.14283916435943</v>
      </c>
      <c r="E15" s="19">
        <v>158.91999999999999</v>
      </c>
      <c r="F15" s="1">
        <v>125</v>
      </c>
      <c r="G15" s="1">
        <v>242</v>
      </c>
      <c r="H15" s="12">
        <f t="shared" si="1"/>
        <v>710.87184000000002</v>
      </c>
      <c r="I15" s="13">
        <f t="shared" si="2"/>
        <v>1.9359999999999999</v>
      </c>
      <c r="J15" s="13">
        <f t="shared" si="3"/>
        <v>4.4731427133148758</v>
      </c>
      <c r="K15" s="1">
        <v>10445</v>
      </c>
      <c r="L15" s="2">
        <v>23092.74</v>
      </c>
      <c r="M15" s="11">
        <f t="shared" si="4"/>
        <v>41.666666666666664</v>
      </c>
      <c r="N15" s="1">
        <v>3</v>
      </c>
    </row>
    <row r="16" spans="1:14" x14ac:dyDescent="0.25">
      <c r="A16" s="3" t="s">
        <v>32</v>
      </c>
      <c r="B16" s="23">
        <v>45913</v>
      </c>
      <c r="C16" s="19">
        <v>92708.68</v>
      </c>
      <c r="D16" s="11">
        <f t="shared" si="0"/>
        <v>583.36697709539396</v>
      </c>
      <c r="E16" s="19">
        <v>158.91999999999999</v>
      </c>
      <c r="F16" s="1">
        <v>120</v>
      </c>
      <c r="G16" s="1">
        <v>233</v>
      </c>
      <c r="H16" s="12">
        <f t="shared" si="1"/>
        <v>772.57233333333329</v>
      </c>
      <c r="I16" s="13">
        <f t="shared" si="2"/>
        <v>1.9416666666666667</v>
      </c>
      <c r="J16" s="13">
        <f t="shared" si="3"/>
        <v>4.8613914757949495</v>
      </c>
      <c r="L16" s="2"/>
      <c r="M16" s="11">
        <f t="shared" si="4"/>
        <v>40</v>
      </c>
      <c r="N16" s="1">
        <v>3</v>
      </c>
    </row>
    <row r="17" spans="1:14" x14ac:dyDescent="0.25">
      <c r="A17" s="3" t="s">
        <v>33</v>
      </c>
      <c r="B17" s="23">
        <v>45914</v>
      </c>
      <c r="C17" s="19">
        <v>110970.24000000001</v>
      </c>
      <c r="D17" s="11">
        <f t="shared" si="0"/>
        <v>698.27737226277384</v>
      </c>
      <c r="E17" s="19">
        <v>158.91999999999999</v>
      </c>
      <c r="F17" s="1">
        <v>145</v>
      </c>
      <c r="G17" s="1">
        <v>260</v>
      </c>
      <c r="H17" s="12">
        <f t="shared" si="1"/>
        <v>765.31200000000001</v>
      </c>
      <c r="I17" s="13">
        <f t="shared" si="2"/>
        <v>1.7931034482758621</v>
      </c>
      <c r="J17" s="13">
        <f t="shared" si="3"/>
        <v>4.8157060156053362</v>
      </c>
      <c r="K17" s="1">
        <v>10166</v>
      </c>
      <c r="L17" s="2">
        <v>22892.736000000001</v>
      </c>
      <c r="M17" s="11">
        <f t="shared" si="4"/>
        <v>48.333333333333336</v>
      </c>
      <c r="N17" s="1">
        <v>3</v>
      </c>
    </row>
    <row r="18" spans="1:14" x14ac:dyDescent="0.25">
      <c r="A18" s="3" t="s">
        <v>28</v>
      </c>
      <c r="B18" s="23">
        <v>45915</v>
      </c>
      <c r="C18" s="19">
        <v>86873.43</v>
      </c>
      <c r="D18" s="11">
        <f t="shared" si="0"/>
        <v>546.64881701485024</v>
      </c>
      <c r="E18" s="19">
        <v>158.91999999999999</v>
      </c>
      <c r="F18" s="1">
        <v>130</v>
      </c>
      <c r="G18" s="1">
        <v>237</v>
      </c>
      <c r="H18" s="12">
        <f t="shared" si="1"/>
        <v>668.25715384615376</v>
      </c>
      <c r="I18" s="13">
        <f t="shared" si="2"/>
        <v>1.823076923076923</v>
      </c>
      <c r="J18" s="13">
        <f t="shared" si="3"/>
        <v>4.2049909001142325</v>
      </c>
      <c r="K18" s="1">
        <v>10166</v>
      </c>
      <c r="L18" s="2">
        <v>23005.49</v>
      </c>
      <c r="M18" s="11">
        <f t="shared" si="4"/>
        <v>43.333333333333336</v>
      </c>
      <c r="N18" s="1">
        <v>3</v>
      </c>
    </row>
    <row r="19" spans="1:14" x14ac:dyDescent="0.25">
      <c r="A19" s="3" t="s">
        <v>29</v>
      </c>
      <c r="B19" s="23">
        <v>45916</v>
      </c>
      <c r="C19" s="19">
        <v>28594.37</v>
      </c>
      <c r="D19" s="11">
        <f t="shared" si="0"/>
        <v>178.22469458987783</v>
      </c>
      <c r="E19" s="19">
        <v>160.44</v>
      </c>
      <c r="F19" s="1">
        <v>32</v>
      </c>
      <c r="G19" s="1">
        <v>71</v>
      </c>
      <c r="H19" s="12">
        <f t="shared" si="1"/>
        <v>893.57406249999997</v>
      </c>
      <c r="I19" s="13">
        <f t="shared" si="2"/>
        <v>2.21875</v>
      </c>
      <c r="J19" s="13">
        <f t="shared" si="3"/>
        <v>5.5695217059336821</v>
      </c>
      <c r="K19" s="2"/>
      <c r="L19" s="2"/>
      <c r="M19" s="11">
        <f t="shared" si="4"/>
        <v>10.666666666666666</v>
      </c>
      <c r="N19" s="1">
        <v>3</v>
      </c>
    </row>
    <row r="20" spans="1:14" x14ac:dyDescent="0.25">
      <c r="A20" s="3" t="s">
        <v>30</v>
      </c>
      <c r="B20" s="23">
        <v>45917</v>
      </c>
      <c r="C20" s="19">
        <v>112854.65</v>
      </c>
      <c r="D20" s="11">
        <f>IF(ISERROR(C20/E20),"-",C20/E20)</f>
        <v>699.05011149653114</v>
      </c>
      <c r="E20" s="19">
        <v>161.44</v>
      </c>
      <c r="F20" s="1">
        <v>163</v>
      </c>
      <c r="G20" s="1">
        <v>308</v>
      </c>
      <c r="H20" s="12">
        <f t="shared" si="1"/>
        <v>692.35981595092017</v>
      </c>
      <c r="I20" s="13">
        <f t="shared" si="2"/>
        <v>1.8895705521472392</v>
      </c>
      <c r="J20" s="13">
        <f t="shared" si="3"/>
        <v>4.2886509907762651</v>
      </c>
      <c r="K20" s="2">
        <v>10125</v>
      </c>
      <c r="L20" s="2">
        <v>23248.01</v>
      </c>
      <c r="M20" s="11">
        <f t="shared" si="4"/>
        <v>54.333333333333336</v>
      </c>
      <c r="N20" s="1">
        <v>3</v>
      </c>
    </row>
    <row r="21" spans="1:14" x14ac:dyDescent="0.25">
      <c r="A21" s="1" t="s">
        <v>31</v>
      </c>
      <c r="B21" s="23">
        <v>45918</v>
      </c>
      <c r="C21" s="19">
        <v>117239.45</v>
      </c>
      <c r="D21" s="11">
        <f t="shared" si="0"/>
        <v>716.44738450256671</v>
      </c>
      <c r="E21" s="19">
        <v>163.63999999999999</v>
      </c>
      <c r="F21" s="1">
        <v>137</v>
      </c>
      <c r="G21" s="1">
        <v>234</v>
      </c>
      <c r="H21" s="12">
        <f t="shared" si="1"/>
        <v>855.76240875912401</v>
      </c>
      <c r="I21" s="13">
        <f t="shared" si="2"/>
        <v>1.7080291970802919</v>
      </c>
      <c r="J21" s="13">
        <f t="shared" si="3"/>
        <v>5.2295429525734791</v>
      </c>
      <c r="K21" s="1">
        <v>10004</v>
      </c>
      <c r="L21" s="2">
        <v>23077.46</v>
      </c>
      <c r="M21" s="11">
        <f t="shared" si="4"/>
        <v>45.666666666666664</v>
      </c>
      <c r="N21" s="1">
        <v>3</v>
      </c>
    </row>
    <row r="22" spans="1:14" x14ac:dyDescent="0.25">
      <c r="A22" s="1" t="s">
        <v>32</v>
      </c>
      <c r="B22" s="23">
        <v>45919</v>
      </c>
      <c r="C22" s="19">
        <v>105269.81</v>
      </c>
      <c r="D22" s="11">
        <f t="shared" si="0"/>
        <v>636.45592503022976</v>
      </c>
      <c r="E22" s="19">
        <v>165.4</v>
      </c>
      <c r="F22" s="1">
        <v>126</v>
      </c>
      <c r="G22" s="1">
        <v>217</v>
      </c>
      <c r="H22" s="12">
        <f t="shared" si="1"/>
        <v>835.47468253968248</v>
      </c>
      <c r="I22" s="13">
        <f t="shared" si="2"/>
        <v>1.7222222222222223</v>
      </c>
      <c r="J22" s="13">
        <f t="shared" si="3"/>
        <v>5.0512375002399184</v>
      </c>
      <c r="K22" s="1">
        <v>10080</v>
      </c>
      <c r="L22" s="2">
        <v>23324.91</v>
      </c>
      <c r="M22" s="11">
        <f t="shared" si="4"/>
        <v>42</v>
      </c>
      <c r="N22" s="1">
        <v>3</v>
      </c>
    </row>
    <row r="23" spans="1:14" x14ac:dyDescent="0.25">
      <c r="A23" s="3" t="s">
        <v>32</v>
      </c>
      <c r="B23" s="23">
        <v>45920</v>
      </c>
      <c r="C23" s="19">
        <v>88959.53</v>
      </c>
      <c r="D23" s="11">
        <f t="shared" si="0"/>
        <v>537.84480048367595</v>
      </c>
      <c r="E23" s="19">
        <v>165.4</v>
      </c>
      <c r="F23" s="1">
        <v>126</v>
      </c>
      <c r="G23" s="1">
        <v>242</v>
      </c>
      <c r="H23" s="12">
        <f t="shared" si="1"/>
        <v>706.02801587301587</v>
      </c>
      <c r="I23" s="13">
        <f t="shared" si="2"/>
        <v>1.9206349206349207</v>
      </c>
      <c r="J23" s="13">
        <f t="shared" si="3"/>
        <v>4.2686095276482217</v>
      </c>
      <c r="L23" s="2"/>
      <c r="M23" s="11">
        <f t="shared" si="4"/>
        <v>42</v>
      </c>
      <c r="N23" s="1">
        <v>3</v>
      </c>
    </row>
    <row r="24" spans="1:14" x14ac:dyDescent="0.25">
      <c r="A24" s="3" t="s">
        <v>33</v>
      </c>
      <c r="B24" s="23">
        <v>45921</v>
      </c>
      <c r="C24" s="19">
        <v>102839.62</v>
      </c>
      <c r="D24" s="11">
        <f t="shared" si="0"/>
        <v>621.76311970979441</v>
      </c>
      <c r="E24" s="19">
        <v>165.4</v>
      </c>
      <c r="F24" s="1">
        <v>127</v>
      </c>
      <c r="G24" s="1">
        <v>235</v>
      </c>
      <c r="H24" s="12">
        <f t="shared" si="1"/>
        <v>809.76078740157482</v>
      </c>
      <c r="I24" s="13">
        <f t="shared" si="2"/>
        <v>1.8503937007874016</v>
      </c>
      <c r="J24" s="13">
        <f t="shared" si="3"/>
        <v>4.8957725961401133</v>
      </c>
      <c r="K24" s="1">
        <v>9622</v>
      </c>
      <c r="L24" s="2">
        <v>22529.66</v>
      </c>
      <c r="M24" s="11">
        <f t="shared" si="4"/>
        <v>42.333333333333336</v>
      </c>
      <c r="N24" s="1">
        <v>3</v>
      </c>
    </row>
    <row r="25" spans="1:14" x14ac:dyDescent="0.25">
      <c r="A25" s="3" t="s">
        <v>28</v>
      </c>
      <c r="B25" s="23">
        <v>45922</v>
      </c>
      <c r="C25" s="19">
        <v>105406.76</v>
      </c>
      <c r="D25" s="11">
        <f t="shared" si="0"/>
        <v>632.7696001920998</v>
      </c>
      <c r="E25" s="19">
        <v>166.58</v>
      </c>
      <c r="F25" s="1">
        <v>145</v>
      </c>
      <c r="G25" s="1">
        <v>279</v>
      </c>
      <c r="H25" s="12">
        <f t="shared" si="1"/>
        <v>726.94317241379304</v>
      </c>
      <c r="I25" s="13">
        <f t="shared" si="2"/>
        <v>1.9241379310344828</v>
      </c>
      <c r="J25" s="13">
        <f t="shared" si="3"/>
        <v>4.3639282771868952</v>
      </c>
      <c r="K25" s="1">
        <v>9798</v>
      </c>
      <c r="L25" s="2">
        <v>22656.49</v>
      </c>
      <c r="M25" s="11">
        <f t="shared" si="4"/>
        <v>48.333333333333336</v>
      </c>
      <c r="N25" s="1">
        <v>3</v>
      </c>
    </row>
    <row r="26" spans="1:14" x14ac:dyDescent="0.25">
      <c r="A26" s="3" t="s">
        <v>29</v>
      </c>
      <c r="B26" s="23">
        <v>45923</v>
      </c>
      <c r="C26" s="19">
        <v>110012.02</v>
      </c>
      <c r="D26" s="11">
        <f t="shared" si="0"/>
        <v>652.96783000949677</v>
      </c>
      <c r="E26" s="19">
        <v>168.48</v>
      </c>
      <c r="F26" s="1">
        <v>127</v>
      </c>
      <c r="G26" s="1">
        <v>249</v>
      </c>
      <c r="H26" s="12">
        <f t="shared" si="1"/>
        <v>866.2363779527559</v>
      </c>
      <c r="I26" s="13">
        <f t="shared" si="2"/>
        <v>1.9606299212598426</v>
      </c>
      <c r="J26" s="13">
        <f t="shared" si="3"/>
        <v>5.1414789764527304</v>
      </c>
      <c r="K26" s="1">
        <v>9667</v>
      </c>
      <c r="L26" s="2">
        <v>22487.23</v>
      </c>
      <c r="M26" s="11">
        <f t="shared" si="4"/>
        <v>42.333333333333336</v>
      </c>
      <c r="N26" s="1">
        <v>3</v>
      </c>
    </row>
    <row r="27" spans="1:14" x14ac:dyDescent="0.25">
      <c r="A27" s="3" t="s">
        <v>30</v>
      </c>
      <c r="B27" s="23">
        <v>45924</v>
      </c>
      <c r="C27" s="19">
        <v>144905.79</v>
      </c>
      <c r="D27" s="11">
        <f t="shared" si="0"/>
        <v>853.54179183601343</v>
      </c>
      <c r="E27" s="19">
        <v>169.77</v>
      </c>
      <c r="F27" s="1">
        <v>161</v>
      </c>
      <c r="G27" s="1">
        <v>334</v>
      </c>
      <c r="H27" s="12">
        <f t="shared" si="1"/>
        <v>900.0359627329193</v>
      </c>
      <c r="I27" s="13">
        <f t="shared" si="2"/>
        <v>2.0745341614906834</v>
      </c>
      <c r="J27" s="13">
        <f t="shared" si="3"/>
        <v>5.3015018126460465</v>
      </c>
      <c r="K27" s="1">
        <v>9666</v>
      </c>
      <c r="L27" s="2">
        <v>22846.86</v>
      </c>
      <c r="M27" s="11">
        <f t="shared" si="4"/>
        <v>53.666666666666664</v>
      </c>
      <c r="N27" s="1">
        <v>3</v>
      </c>
    </row>
    <row r="28" spans="1:14" x14ac:dyDescent="0.25">
      <c r="A28" s="1" t="s">
        <v>31</v>
      </c>
      <c r="B28" s="23">
        <v>45925</v>
      </c>
      <c r="C28" s="19">
        <v>145423.22</v>
      </c>
      <c r="D28" s="11">
        <f t="shared" si="0"/>
        <v>846.2710661080074</v>
      </c>
      <c r="E28" s="19">
        <v>171.84</v>
      </c>
      <c r="F28" s="1">
        <v>155</v>
      </c>
      <c r="G28" s="1">
        <v>264</v>
      </c>
      <c r="H28" s="12">
        <f t="shared" si="1"/>
        <v>938.21432258064522</v>
      </c>
      <c r="I28" s="13">
        <f t="shared" si="2"/>
        <v>1.7032258064516128</v>
      </c>
      <c r="J28" s="13">
        <f t="shared" si="3"/>
        <v>5.459813329729081</v>
      </c>
      <c r="K28" s="1">
        <v>9764</v>
      </c>
      <c r="L28" s="2">
        <v>22936.01</v>
      </c>
      <c r="M28" s="11">
        <f t="shared" si="4"/>
        <v>51.666666666666664</v>
      </c>
      <c r="N28" s="1">
        <v>3</v>
      </c>
    </row>
    <row r="29" spans="1:14" x14ac:dyDescent="0.25">
      <c r="A29" s="1" t="s">
        <v>32</v>
      </c>
      <c r="B29" s="23">
        <v>45926</v>
      </c>
      <c r="C29" s="19">
        <v>110300.94</v>
      </c>
      <c r="D29" s="11">
        <f t="shared" si="0"/>
        <v>634.89863581419445</v>
      </c>
      <c r="E29" s="19">
        <v>173.73</v>
      </c>
      <c r="F29" s="1">
        <v>126</v>
      </c>
      <c r="G29" s="1">
        <v>238</v>
      </c>
      <c r="H29" s="12">
        <f t="shared" si="1"/>
        <v>875.40428571428572</v>
      </c>
      <c r="I29" s="13">
        <f t="shared" si="2"/>
        <v>1.8888888888888888</v>
      </c>
      <c r="J29" s="13">
        <f t="shared" si="3"/>
        <v>5.0388780620174165</v>
      </c>
      <c r="K29" s="1">
        <v>10098</v>
      </c>
      <c r="L29" s="2">
        <v>23791</v>
      </c>
      <c r="M29" s="11">
        <f t="shared" si="4"/>
        <v>42</v>
      </c>
      <c r="N29" s="1">
        <v>3</v>
      </c>
    </row>
    <row r="30" spans="1:14" x14ac:dyDescent="0.25">
      <c r="A30" s="3" t="s">
        <v>32</v>
      </c>
      <c r="B30" s="23">
        <v>45927</v>
      </c>
      <c r="C30" s="19">
        <v>88069.67</v>
      </c>
      <c r="D30" s="11">
        <f t="shared" si="0"/>
        <v>506.93415069360503</v>
      </c>
      <c r="E30" s="19">
        <v>173.73</v>
      </c>
      <c r="F30" s="1">
        <v>106</v>
      </c>
      <c r="G30" s="1">
        <v>191</v>
      </c>
      <c r="H30" s="12">
        <f t="shared" si="1"/>
        <v>830.8459433962264</v>
      </c>
      <c r="I30" s="13">
        <f t="shared" si="2"/>
        <v>1.8018867924528301</v>
      </c>
      <c r="J30" s="13">
        <f t="shared" si="3"/>
        <v>4.7823976480528776</v>
      </c>
      <c r="L30" s="2"/>
      <c r="M30" s="11">
        <f t="shared" si="4"/>
        <v>35.333333333333336</v>
      </c>
      <c r="N30" s="1">
        <v>3</v>
      </c>
    </row>
    <row r="31" spans="1:14" x14ac:dyDescent="0.25">
      <c r="A31" s="3" t="s">
        <v>33</v>
      </c>
      <c r="B31" s="23">
        <v>45928</v>
      </c>
      <c r="C31" s="19">
        <v>107548.12</v>
      </c>
      <c r="D31" s="11">
        <f t="shared" si="0"/>
        <v>619.05324353882463</v>
      </c>
      <c r="E31" s="19">
        <v>173.73</v>
      </c>
      <c r="F31" s="1">
        <v>121</v>
      </c>
      <c r="G31" s="1">
        <v>226</v>
      </c>
      <c r="H31" s="12">
        <f t="shared" si="1"/>
        <v>888.82743801652884</v>
      </c>
      <c r="I31" s="13">
        <f t="shared" si="2"/>
        <v>1.8677685950413223</v>
      </c>
      <c r="J31" s="13">
        <f t="shared" si="3"/>
        <v>5.1161425085853276</v>
      </c>
      <c r="K31" s="1">
        <v>9788</v>
      </c>
      <c r="L31" s="2">
        <v>23130</v>
      </c>
      <c r="M31" s="11">
        <f t="shared" si="4"/>
        <v>40.333333333333336</v>
      </c>
      <c r="N31" s="1">
        <v>3</v>
      </c>
    </row>
    <row r="32" spans="1:14" x14ac:dyDescent="0.25">
      <c r="A32" s="3" t="s">
        <v>28</v>
      </c>
      <c r="B32" s="23">
        <v>45929</v>
      </c>
      <c r="C32" s="19">
        <v>103502.12</v>
      </c>
      <c r="D32" s="11">
        <f t="shared" si="0"/>
        <v>589.28558414939653</v>
      </c>
      <c r="E32" s="19">
        <v>175.64</v>
      </c>
      <c r="F32" s="1">
        <v>118</v>
      </c>
      <c r="G32" s="1">
        <v>218</v>
      </c>
      <c r="H32" s="12">
        <f t="shared" si="1"/>
        <v>877.13661016949152</v>
      </c>
      <c r="I32" s="13">
        <f t="shared" si="2"/>
        <v>1.847457627118644</v>
      </c>
      <c r="J32" s="13">
        <f t="shared" si="3"/>
        <v>4.9939456283847168</v>
      </c>
      <c r="K32" s="1">
        <v>9609</v>
      </c>
      <c r="L32" s="2">
        <v>22991.7</v>
      </c>
      <c r="M32" s="11">
        <f t="shared" si="4"/>
        <v>39.333333333333336</v>
      </c>
      <c r="N32" s="1">
        <v>3</v>
      </c>
    </row>
    <row r="33" spans="1:14" x14ac:dyDescent="0.25">
      <c r="A33" s="3" t="s">
        <v>29</v>
      </c>
      <c r="B33" s="23">
        <v>45930</v>
      </c>
      <c r="C33" s="19">
        <v>117614.52</v>
      </c>
      <c r="D33" s="11">
        <f t="shared" si="0"/>
        <v>662.20663250943073</v>
      </c>
      <c r="E33" s="19">
        <v>177.61</v>
      </c>
      <c r="F33" s="1">
        <v>146</v>
      </c>
      <c r="G33" s="1">
        <v>322</v>
      </c>
      <c r="H33" s="12">
        <f t="shared" si="1"/>
        <v>805.57890410958908</v>
      </c>
      <c r="I33" s="13">
        <f t="shared" si="2"/>
        <v>2.2054794520547945</v>
      </c>
      <c r="J33" s="13">
        <f t="shared" si="3"/>
        <v>4.5356618665029504</v>
      </c>
      <c r="K33" s="1">
        <v>9831</v>
      </c>
      <c r="L33" s="2">
        <v>23545.31</v>
      </c>
      <c r="M33" s="11">
        <f t="shared" si="4"/>
        <v>48.666666666666664</v>
      </c>
      <c r="N33" s="1">
        <v>3</v>
      </c>
    </row>
    <row r="34" spans="1:14" x14ac:dyDescent="0.25">
      <c r="A34" s="3"/>
      <c r="B34" s="26"/>
      <c r="C34" s="27">
        <f>SUM(C4:C33)</f>
        <v>3012770.86</v>
      </c>
      <c r="D34" s="27">
        <f>SUM(D4:D33)</f>
        <v>18610.676897363064</v>
      </c>
      <c r="E34" s="27">
        <f>AVERAGE(E4:E33)</f>
        <v>161.68333333333331</v>
      </c>
      <c r="F34" s="26">
        <f>SUM(F4:F33)</f>
        <v>3853</v>
      </c>
      <c r="G34" s="26">
        <f>SUM(G4:G33)</f>
        <v>7543</v>
      </c>
      <c r="H34" s="28">
        <f t="shared" ref="H34:N34" si="5">AVERAGE(H4:H33)</f>
        <v>784.63270239260498</v>
      </c>
      <c r="I34" s="29">
        <f t="shared" si="5"/>
        <v>1.9644724600270691</v>
      </c>
      <c r="J34" s="30">
        <f t="shared" si="5"/>
        <v>4.8502645904074626</v>
      </c>
      <c r="K34" s="31">
        <f t="shared" si="5"/>
        <v>9737.7999999999993</v>
      </c>
      <c r="L34" s="32">
        <f t="shared" si="5"/>
        <v>22716.438239999996</v>
      </c>
      <c r="M34" s="33">
        <f t="shared" si="5"/>
        <v>41.644444444444439</v>
      </c>
      <c r="N34" s="33">
        <f t="shared" si="5"/>
        <v>3.1</v>
      </c>
    </row>
    <row r="40" spans="1:14" ht="6" customHeight="1" x14ac:dyDescent="0.25"/>
    <row r="41" spans="1:14" ht="26.25" customHeight="1" x14ac:dyDescent="0.25">
      <c r="A41" s="18" t="s">
        <v>7</v>
      </c>
      <c r="B41" s="17" t="s">
        <v>10</v>
      </c>
      <c r="C41" s="17" t="s">
        <v>9</v>
      </c>
      <c r="D41" s="17" t="s">
        <v>24</v>
      </c>
      <c r="E41" s="17" t="s">
        <v>25</v>
      </c>
      <c r="F41" s="17" t="s">
        <v>16</v>
      </c>
      <c r="G41" s="17" t="s">
        <v>17</v>
      </c>
      <c r="H41" s="17" t="s">
        <v>18</v>
      </c>
      <c r="I41" s="17" t="s">
        <v>19</v>
      </c>
      <c r="J41" s="17" t="s">
        <v>20</v>
      </c>
      <c r="K41" s="17" t="s">
        <v>21</v>
      </c>
      <c r="L41" s="17" t="s">
        <v>26</v>
      </c>
      <c r="M41" s="17" t="s">
        <v>22</v>
      </c>
      <c r="N41" s="17" t="s">
        <v>23</v>
      </c>
    </row>
    <row r="42" spans="1:14" ht="23.25" customHeight="1" x14ac:dyDescent="0.25">
      <c r="A42" s="18">
        <v>1</v>
      </c>
      <c r="B42" s="15" t="s">
        <v>11</v>
      </c>
      <c r="C42" s="20"/>
      <c r="D42" s="2"/>
      <c r="E42" s="2"/>
      <c r="H42" s="2"/>
      <c r="I42" s="4"/>
      <c r="J42" s="4"/>
      <c r="N42" s="8"/>
    </row>
    <row r="43" spans="1:14" ht="23.25" customHeight="1" x14ac:dyDescent="0.25">
      <c r="A43" s="18">
        <v>2</v>
      </c>
      <c r="B43" s="15" t="s">
        <v>3</v>
      </c>
      <c r="C43" s="20"/>
      <c r="J43" s="19"/>
      <c r="N43" s="8"/>
    </row>
    <row r="44" spans="1:14" ht="23.25" customHeight="1" x14ac:dyDescent="0.25">
      <c r="A44" s="18">
        <v>3</v>
      </c>
      <c r="B44" s="15" t="s">
        <v>12</v>
      </c>
      <c r="C44" s="21"/>
      <c r="J44" s="19"/>
      <c r="N44" s="8"/>
    </row>
    <row r="45" spans="1:14" ht="23.25" customHeight="1" x14ac:dyDescent="0.25">
      <c r="A45" s="18">
        <v>4</v>
      </c>
      <c r="B45" s="15" t="s">
        <v>13</v>
      </c>
      <c r="N45" s="8"/>
    </row>
    <row r="46" spans="1:14" ht="23.25" customHeight="1" x14ac:dyDescent="0.25">
      <c r="A46" s="18">
        <v>5</v>
      </c>
      <c r="B46" s="15" t="s">
        <v>1</v>
      </c>
      <c r="N46" s="8"/>
    </row>
    <row r="47" spans="1:14" ht="23.25" customHeight="1" x14ac:dyDescent="0.25">
      <c r="A47" s="18">
        <v>6</v>
      </c>
      <c r="B47" s="15" t="s">
        <v>15</v>
      </c>
      <c r="J47" s="2"/>
      <c r="N47" s="8"/>
    </row>
    <row r="48" spans="1:14" ht="23.25" customHeight="1" x14ac:dyDescent="0.25">
      <c r="A48" s="18">
        <v>7</v>
      </c>
      <c r="B48" s="15" t="s">
        <v>6</v>
      </c>
      <c r="J48" s="4"/>
      <c r="N48" s="8"/>
    </row>
    <row r="49" spans="1:14" ht="23.25" customHeight="1" x14ac:dyDescent="0.25">
      <c r="A49" s="18">
        <v>8</v>
      </c>
      <c r="B49" s="15" t="s">
        <v>14</v>
      </c>
      <c r="J49" s="4"/>
      <c r="N49" s="8"/>
    </row>
    <row r="50" spans="1:14" x14ac:dyDescent="0.25">
      <c r="A50" s="18">
        <v>9</v>
      </c>
      <c r="B50" s="15" t="s">
        <v>34</v>
      </c>
      <c r="C50" s="2"/>
      <c r="D50" s="2"/>
      <c r="E50" s="2"/>
      <c r="H50" s="2"/>
      <c r="I50" s="4"/>
      <c r="J50" s="4"/>
      <c r="N50" s="8"/>
    </row>
    <row r="51" spans="1:14" x14ac:dyDescent="0.25">
      <c r="A51" s="18">
        <v>10</v>
      </c>
      <c r="B51" s="15" t="s">
        <v>35</v>
      </c>
      <c r="C51" s="14"/>
      <c r="E51" s="2"/>
      <c r="N51" s="8"/>
    </row>
    <row r="52" spans="1:14" x14ac:dyDescent="0.25">
      <c r="A52" s="18">
        <v>11</v>
      </c>
      <c r="B52" s="15" t="s">
        <v>38</v>
      </c>
      <c r="N52" s="8"/>
    </row>
    <row r="53" spans="1:14" ht="15.75" thickBot="1" x14ac:dyDescent="0.3">
      <c r="A53" s="18">
        <v>12</v>
      </c>
      <c r="B53" s="16" t="s">
        <v>37</v>
      </c>
      <c r="C53" s="5"/>
      <c r="D53" s="5"/>
      <c r="E53" s="5"/>
      <c r="F53" s="5"/>
      <c r="G53" s="5"/>
      <c r="H53" s="5"/>
      <c r="I53" s="5"/>
      <c r="J53" s="25"/>
      <c r="K53" s="5"/>
      <c r="L53" s="5"/>
      <c r="M53" s="5"/>
      <c r="N53" s="9"/>
    </row>
    <row r="56" spans="1:14" x14ac:dyDescent="0.25">
      <c r="H56" s="14"/>
    </row>
    <row r="59" spans="1:14" x14ac:dyDescent="0.25">
      <c r="C59" s="1">
        <f>14.47+15.8+51.2</f>
        <v>81.47</v>
      </c>
    </row>
  </sheetData>
  <autoFilter ref="A3:N34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zoomScale="90" zoomScaleNormal="90" workbookViewId="0">
      <selection activeCell="L33" sqref="L3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Q32:Q36"/>
  <sheetViews>
    <sheetView showGridLines="0" zoomScale="90" zoomScaleNormal="90" workbookViewId="0">
      <selection activeCell="G42" sqref="G42"/>
    </sheetView>
  </sheetViews>
  <sheetFormatPr baseColWidth="10" defaultRowHeight="15" x14ac:dyDescent="0.25"/>
  <sheetData>
    <row r="32" spans="17:17" x14ac:dyDescent="0.25">
      <c r="Q32" s="24" t="s">
        <v>42</v>
      </c>
    </row>
    <row r="33" spans="17:17" x14ac:dyDescent="0.25">
      <c r="Q33" s="24"/>
    </row>
    <row r="34" spans="17:17" x14ac:dyDescent="0.25">
      <c r="Q34" s="24" t="s">
        <v>43</v>
      </c>
    </row>
    <row r="36" spans="17:17" x14ac:dyDescent="0.25">
      <c r="Q36" s="24" t="s">
        <v>44</v>
      </c>
    </row>
  </sheetData>
  <hyperlinks>
    <hyperlink ref="Q32" r:id="rId1" display="https://www.msn.com/es-ve/play/games/piece-of-cake/cg-9n5mln8fpwg8?cgfrom=cg_prong2_cardgameitem&amp;ocid=winp2fp" xr:uid="{8A419B95-0FFF-4757-9DA2-9BBFF1DAEE35}"/>
    <hyperlink ref="Q33" r:id="rId2" display="https://www.msn.com/es-ve/play/games/piece-of-cake/cg-9n5mln8fpwg8?cgfrom=cg_prong2_cardgameitem&amp;ocid=winp2fp" xr:uid="{D48EA4AF-8FF1-4B1D-AB58-A600AB0410D9}"/>
    <hyperlink ref="Q34" r:id="rId3" display="https://www.msn.com/es-ve/play/games/piece-of-cake/cg-9n5mln8fpwg8?cgfrom=cg_prong2_cardgameitem&amp;ocid=winp2fp" xr:uid="{CF3A677F-8C7E-4F6B-8BD9-49F44CB1197F}"/>
    <hyperlink ref="Q36" r:id="rId4" display="https://www.msn.com/es-ve/play/games/piece-of-cake/cg-9n5mln8fpwg8?cgfrom=cg_prong2_cardgameitem&amp;ocid=winp2fp" xr:uid="{3DB63B55-DC51-4944-BC3E-A6610AC8ABC6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zoomScale="90" zoomScaleNormal="90" workbookViewId="0">
      <selection activeCell="C11" sqref="C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zoomScale="90" zoomScaleNormal="90" workbookViewId="0">
      <selection activeCell="K42" sqref="K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I30" sqref="I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topLeftCell="C1" workbookViewId="0">
      <selection activeCell="J37" sqref="J3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>
      <selection activeCell="M21" sqref="L21:M2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Indicadores </vt:lpstr>
      <vt:lpstr>Ventas en Bs</vt:lpstr>
      <vt:lpstr>Venta en $</vt:lpstr>
      <vt:lpstr>TRN-Unidades</vt:lpstr>
      <vt:lpstr>Ticket Promedio en Bs</vt:lpstr>
      <vt:lpstr>PromUnd-TicketProm$</vt:lpstr>
      <vt:lpstr>TRNxJornadas</vt:lpstr>
      <vt:lpstr>Valuacion-Unidades Cargadas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 Roa</dc:creator>
  <cp:lastModifiedBy>usuario</cp:lastModifiedBy>
  <cp:lastPrinted>2025-08-27T15:41:41Z</cp:lastPrinted>
  <dcterms:created xsi:type="dcterms:W3CDTF">2021-01-16T01:48:28Z</dcterms:created>
  <dcterms:modified xsi:type="dcterms:W3CDTF">2025-10-03T18:16:52Z</dcterms:modified>
</cp:coreProperties>
</file>